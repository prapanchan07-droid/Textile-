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5" yWindow="-15" windowWidth="8355" windowHeight="7815" firstSheet="1" activeTab="2"/>
  </bookViews>
  <sheets>
    <sheet name="Sheet1" sheetId="1" r:id="rId1"/>
    <sheet name="Sheet2" sheetId="2" r:id="rId2"/>
    <sheet name="Budget summary" sheetId="3" r:id="rId3"/>
  </sheets>
  <calcPr calcId="144525"/>
</workbook>
</file>

<file path=xl/calcChain.xml><?xml version="1.0" encoding="utf-8"?>
<calcChain xmlns="http://schemas.openxmlformats.org/spreadsheetml/2006/main">
  <c r="N19" i="3" l="1"/>
  <c r="N17" i="3" l="1"/>
  <c r="N6" i="3"/>
  <c r="N7" i="3"/>
  <c r="N8" i="3"/>
  <c r="N9" i="3"/>
  <c r="N10" i="3"/>
  <c r="N11" i="3"/>
  <c r="N12" i="3"/>
  <c r="N13" i="3"/>
  <c r="N14" i="3"/>
  <c r="N15" i="3"/>
  <c r="N16" i="3"/>
  <c r="N5" i="3"/>
  <c r="L17" i="3"/>
  <c r="K17" i="3"/>
  <c r="M17" i="3"/>
  <c r="I17" i="3"/>
  <c r="J17" i="3"/>
  <c r="E17" i="3" l="1"/>
  <c r="H17" i="3" l="1"/>
  <c r="G17" i="3"/>
  <c r="F17" i="3"/>
  <c r="G231" i="1" l="1"/>
  <c r="G174" i="1"/>
  <c r="F42" i="1"/>
  <c r="G63" i="1"/>
  <c r="G134" i="1"/>
</calcChain>
</file>

<file path=xl/sharedStrings.xml><?xml version="1.0" encoding="utf-8"?>
<sst xmlns="http://schemas.openxmlformats.org/spreadsheetml/2006/main" count="1358" uniqueCount="243">
  <si>
    <t>MONTH</t>
  </si>
  <si>
    <t>DESCRIPTIONS</t>
  </si>
  <si>
    <t>M/C NO</t>
  </si>
  <si>
    <t>BUDGET</t>
  </si>
  <si>
    <t>CARDING YEARLY BUDGET 2026-2027</t>
  </si>
  <si>
    <t xml:space="preserve">ALL BELT RENOVATION </t>
  </si>
  <si>
    <t xml:space="preserve">LICKERIN &amp; SFL RENOVATION </t>
  </si>
  <si>
    <t xml:space="preserve">CYL/DOFF/FLAT SHEDULE REPLACE </t>
  </si>
  <si>
    <t xml:space="preserve">FLAT TOPS/SFD REPLACE </t>
  </si>
  <si>
    <t xml:space="preserve">COILER SERVICE </t>
  </si>
  <si>
    <t>PETROLL WASH (1-20)</t>
  </si>
  <si>
    <t xml:space="preserve">NESSARY BELT &amp; LUBRICATION SPARES </t>
  </si>
  <si>
    <t>11,12</t>
  </si>
  <si>
    <t>17-20</t>
  </si>
  <si>
    <t>1--20</t>
  </si>
  <si>
    <t>13,14</t>
  </si>
  <si>
    <t>4,5</t>
  </si>
  <si>
    <t>1--5</t>
  </si>
  <si>
    <t xml:space="preserve">TC 05 CARD DAMAGE SUCTION DUCT REPLACE </t>
  </si>
  <si>
    <t>6,7</t>
  </si>
  <si>
    <t>7,8</t>
  </si>
  <si>
    <t>15,6</t>
  </si>
  <si>
    <t>6,7,8</t>
  </si>
  <si>
    <t>ALL BELT RENOVATION</t>
  </si>
  <si>
    <t>9,10</t>
  </si>
  <si>
    <t>11--16</t>
  </si>
  <si>
    <t>11,14,16,17,20</t>
  </si>
  <si>
    <t>1,2</t>
  </si>
  <si>
    <t>1,18</t>
  </si>
  <si>
    <t>3,4</t>
  </si>
  <si>
    <t>18,19</t>
  </si>
  <si>
    <t>11,12,13</t>
  </si>
  <si>
    <t>5,17</t>
  </si>
  <si>
    <t>6--10</t>
  </si>
  <si>
    <t>4,11</t>
  </si>
  <si>
    <t>14,15,16</t>
  </si>
  <si>
    <t>TOTAL</t>
  </si>
  <si>
    <t>DRAWING YEARLY BUDGET 2026-2027</t>
  </si>
  <si>
    <t>DRAFTING ZONE SERVICE</t>
  </si>
  <si>
    <t>DRAW OFF ROLLER SERVICE</t>
  </si>
  <si>
    <t xml:space="preserve">CREEL SERVICE </t>
  </si>
  <si>
    <t xml:space="preserve">DIFFERENTIAL GEAR BOX SERVICE </t>
  </si>
  <si>
    <t xml:space="preserve">MAINDRIVE UNIT SERVICE </t>
  </si>
  <si>
    <t>CLEARER LIP RENOVATION</t>
  </si>
  <si>
    <t>DRAFTING &amp; BELT TENSION GAS SPRING RENOVATION</t>
  </si>
  <si>
    <t xml:space="preserve">NESSARY SPARES &amp; LUBRICATION SPARES </t>
  </si>
  <si>
    <t>10,13,14</t>
  </si>
  <si>
    <t>2,10,13</t>
  </si>
  <si>
    <t>1--17</t>
  </si>
  <si>
    <t>1,2,3</t>
  </si>
  <si>
    <t>10,11,12</t>
  </si>
  <si>
    <t>11,12,16</t>
  </si>
  <si>
    <t>DIFFERENTIAL GEAR BOX OIL TOPUP</t>
  </si>
  <si>
    <t>10,11</t>
  </si>
  <si>
    <t>14,16</t>
  </si>
  <si>
    <t>8,9,16</t>
  </si>
  <si>
    <t>11LHS</t>
  </si>
  <si>
    <t>1---17</t>
  </si>
  <si>
    <t>3,7</t>
  </si>
  <si>
    <t>11RHS</t>
  </si>
  <si>
    <t>1,17</t>
  </si>
  <si>
    <t>16,17</t>
  </si>
  <si>
    <t>8,9</t>
  </si>
  <si>
    <t>12LHS</t>
  </si>
  <si>
    <t>12,13</t>
  </si>
  <si>
    <t>DCE-26</t>
  </si>
  <si>
    <t>14,17</t>
  </si>
  <si>
    <t>8,9,10</t>
  </si>
  <si>
    <t>CREEL SERVICE</t>
  </si>
  <si>
    <t>7,8,9</t>
  </si>
  <si>
    <t>1,3,14</t>
  </si>
  <si>
    <t>BLOWROOM YEARLY BUDGET 2026-2027</t>
  </si>
  <si>
    <t>NESSARY BELT AND LUBRICATION SPARE</t>
  </si>
  <si>
    <t>1&amp;2</t>
  </si>
  <si>
    <t xml:space="preserve">BALE PLUCKER NESSARY SPARE </t>
  </si>
  <si>
    <t xml:space="preserve">CARD VXL VENDILTER FAN BELT REPLACE </t>
  </si>
  <si>
    <t xml:space="preserve">FS COMPACTER FAN BRG RENOVATION </t>
  </si>
  <si>
    <t>CARD VXL PRIMARYSTEEL MESH AND NAMATHA CHANGE</t>
  </si>
  <si>
    <t>1SET</t>
  </si>
  <si>
    <t>GEAR BOX OIL CHANGE</t>
  </si>
  <si>
    <t>VXL FAN BELT REPLACE</t>
  </si>
  <si>
    <t>2,3</t>
  </si>
  <si>
    <t xml:space="preserve">VXL VENTILATOR FAN BRG BELT CHANGE </t>
  </si>
  <si>
    <t xml:space="preserve">UNIMIX 4 TENSION PULLEY SERVICE </t>
  </si>
  <si>
    <t xml:space="preserve">BALE PLUCKER TENSION PULLEY SERVICE </t>
  </si>
  <si>
    <t>UNIOMIX 2,3</t>
  </si>
  <si>
    <t>BALE PLUCKER FLEXIBLE HOSE CHANGE</t>
  </si>
  <si>
    <t>UNIMIX GEAR BOX OIL CHANGE</t>
  </si>
  <si>
    <t>VXL GEAR BOX OIL CHANGE</t>
  </si>
  <si>
    <t>1---3</t>
  </si>
  <si>
    <t xml:space="preserve">FLEXI GEAR BOX OIL CHANGE </t>
  </si>
  <si>
    <t xml:space="preserve">FLEXI TESION PULLEY SERVICE </t>
  </si>
  <si>
    <t>VENTILATER BELT CHANGE LINE-5</t>
  </si>
  <si>
    <t xml:space="preserve">BALE PLUCKER GEAR BOX OIL CHANGE </t>
  </si>
  <si>
    <t>UNIMIX ALL BELT RENOVATION</t>
  </si>
  <si>
    <t xml:space="preserve">UNIMIX TENSION PULLEY SERVICE </t>
  </si>
  <si>
    <t>1 &amp;5</t>
  </si>
  <si>
    <t xml:space="preserve">BALEPLUCKER TROLLEY WHEEL ASSLY CHANGE </t>
  </si>
  <si>
    <t xml:space="preserve">BALEPLUCKER TROLLEY GUIDE WHEEL ASSLY CHANGE </t>
  </si>
  <si>
    <t xml:space="preserve">VXL FAN BELT REPLACE </t>
  </si>
  <si>
    <t>ROUND BALEPLUCKER TENSION PULLEY AND BELT CHANGE</t>
  </si>
  <si>
    <t>CONDENSOR BELT AND BRG CHANGE</t>
  </si>
  <si>
    <t>SIMPLEX YEARLY BUDGET 2026-2027</t>
  </si>
  <si>
    <t xml:space="preserve">LUBRICATION SPARES </t>
  </si>
  <si>
    <t xml:space="preserve">NESSARY SAPRY SPARES </t>
  </si>
  <si>
    <t>SPINDLE LUBRICATION SPARY FR43</t>
  </si>
  <si>
    <t xml:space="preserve">FLASE TWISTER CHANGE </t>
  </si>
  <si>
    <t xml:space="preserve">TOP &amp; BOTTOM APRON CHANGE </t>
  </si>
  <si>
    <t xml:space="preserve">DRAFTING ZONE SERVICE </t>
  </si>
  <si>
    <t>MOTOR LINK STAR COUPLING CHANGE</t>
  </si>
  <si>
    <t>BOBBIN DRIVE BELT RENOVATION</t>
  </si>
  <si>
    <t>S.NO</t>
  </si>
  <si>
    <t>DISCRPTION</t>
  </si>
  <si>
    <t xml:space="preserve">MACHINCE FULL CLEANING </t>
  </si>
  <si>
    <t xml:space="preserve">SEMI AIR CLEANING </t>
  </si>
  <si>
    <t>ENDBUSH LUBRICATION</t>
  </si>
  <si>
    <t>COTS BUFFING</t>
  </si>
  <si>
    <t>GEARBOX OIL TOPING</t>
  </si>
  <si>
    <t xml:space="preserve">MAINDRIVE SERVICE </t>
  </si>
  <si>
    <t xml:space="preserve">DRAWOFF ROLLER SERVICE </t>
  </si>
  <si>
    <t xml:space="preserve">CLEARER LIP RENOVATION </t>
  </si>
  <si>
    <t xml:space="preserve">DIFFERENTIONAL GEAR BOX SERVICE </t>
  </si>
  <si>
    <t>FREQ</t>
  </si>
  <si>
    <t>15 DAYS</t>
  </si>
  <si>
    <t>2 DAYS</t>
  </si>
  <si>
    <t>DAILY</t>
  </si>
  <si>
    <t xml:space="preserve">10 DAYS </t>
  </si>
  <si>
    <t>3 M</t>
  </si>
  <si>
    <t>9 M</t>
  </si>
  <si>
    <t>1 Y</t>
  </si>
  <si>
    <t>1.5 Y</t>
  </si>
  <si>
    <t>2 Y</t>
  </si>
  <si>
    <t>DRAW FRAME MAINTENANCE  YEARLY SHEDULE- 2026-2027</t>
  </si>
  <si>
    <t>(1-17)</t>
  </si>
  <si>
    <t xml:space="preserve">                                                                                                                                                                                                        </t>
  </si>
  <si>
    <t>13,16</t>
  </si>
  <si>
    <t>12,14</t>
  </si>
  <si>
    <t>14,16,17</t>
  </si>
  <si>
    <t>12RHS</t>
  </si>
  <si>
    <t>BLOW ROOM MAINTENANCE  YEARLY SHEDULE- 2026-2027</t>
  </si>
  <si>
    <t>CAM OILING</t>
  </si>
  <si>
    <t>CENTRE SPINDLE LUBRICATION</t>
  </si>
  <si>
    <t>TOPROLLER PRESSURE CHECKING</t>
  </si>
  <si>
    <t>TOP ROLLER SETTING CHECKING</t>
  </si>
  <si>
    <t>BOTTOM ROLLER SETTING CHECKING</t>
  </si>
  <si>
    <t>SPINDLE DRIVE BELT RENOVATION</t>
  </si>
  <si>
    <t>RAIL SHAFT BRG GREASING</t>
  </si>
  <si>
    <t>BOTTOM ROLL GREASING</t>
  </si>
  <si>
    <t>DRAFTING ZONE GEAR BOX OIL CHANGE</t>
  </si>
  <si>
    <t>RACK SHAFT GEAR BOX OIL CHANGE</t>
  </si>
  <si>
    <t>TOP APRON CHANGE</t>
  </si>
  <si>
    <t>BOTTOM APRON CHANGE</t>
  </si>
  <si>
    <t>DELIVERY ROLL GEARBOX OIL CHANGE</t>
  </si>
  <si>
    <t>POSITIVE CLEARER SERVICE</t>
  </si>
  <si>
    <t>FLASE TWISTER RENOVATION</t>
  </si>
  <si>
    <t>SPINDLE TUNNING</t>
  </si>
  <si>
    <t>ALL BELT TENSION CHECKING</t>
  </si>
  <si>
    <t xml:space="preserve">15 DAYS </t>
  </si>
  <si>
    <t>30 DAYS</t>
  </si>
  <si>
    <t>10 DAYS</t>
  </si>
  <si>
    <t>3 Y</t>
  </si>
  <si>
    <t xml:space="preserve">2 M </t>
  </si>
  <si>
    <t>2 M</t>
  </si>
  <si>
    <t>SIMPLEX  MAINTENANCE  YEARLY SHEDULE- 2026-2027</t>
  </si>
  <si>
    <t xml:space="preserve"> CARDING MAINTENANCE  YEARLY SHEDULE- 2026-2027</t>
  </si>
  <si>
    <t xml:space="preserve">FLAT TOPS AIR CLEANING </t>
  </si>
  <si>
    <t>CYL/DOFF/PETROL WASH</t>
  </si>
  <si>
    <t>FULL SETTING</t>
  </si>
  <si>
    <t>COILER SERVICE</t>
  </si>
  <si>
    <t xml:space="preserve">GEAR BOX OIL CHANGE </t>
  </si>
  <si>
    <t xml:space="preserve">TESION PULLEY SERVICE </t>
  </si>
  <si>
    <t xml:space="preserve">CALENDER ROLL SERVICE </t>
  </si>
  <si>
    <t xml:space="preserve">BOTTOM SFL CHANGE </t>
  </si>
  <si>
    <t>LICKERIN SFL CHANGE</t>
  </si>
  <si>
    <t>FLAT TOPS RESHARPHANING</t>
  </si>
  <si>
    <t>CYLINDER RESHARPHANING</t>
  </si>
  <si>
    <t>DOFFER RESHARPHANING</t>
  </si>
  <si>
    <t xml:space="preserve">UNDER SEGMENT CHANGE </t>
  </si>
  <si>
    <t>FLAT TOPS SFD CHANGE</t>
  </si>
  <si>
    <t>FLAT CLENING FILLET CHANGE</t>
  </si>
  <si>
    <t>STRIPPING FILLET CHANGE</t>
  </si>
  <si>
    <t>DOFFER CLEANING FILLET CHANGE</t>
  </si>
  <si>
    <t xml:space="preserve">CYL/DOFF/RD ROLL MOUNTING </t>
  </si>
  <si>
    <t>FLAT DRIVE TOOTHED BELT CHANGE</t>
  </si>
  <si>
    <t>7 DAYS</t>
  </si>
  <si>
    <t>2M</t>
  </si>
  <si>
    <t>6 M</t>
  </si>
  <si>
    <t>TONAGE BASIC</t>
  </si>
  <si>
    <t>1,3</t>
  </si>
  <si>
    <t>(1-20)</t>
  </si>
  <si>
    <t>6,11,,12</t>
  </si>
  <si>
    <t>14,16,8</t>
  </si>
  <si>
    <t>2,5,7</t>
  </si>
  <si>
    <t>9,10,13</t>
  </si>
  <si>
    <t>1,3,4,15</t>
  </si>
  <si>
    <t>20,16</t>
  </si>
  <si>
    <t>6--16</t>
  </si>
  <si>
    <t>_</t>
  </si>
  <si>
    <t>MACHINCE FULL CLEANING</t>
  </si>
  <si>
    <t xml:space="preserve">TENSION PULLEY SERVICE </t>
  </si>
  <si>
    <t>SEMI AIR CLEANING</t>
  </si>
  <si>
    <t>MAGNET CLEANING</t>
  </si>
  <si>
    <t>ALL MATERIAL PIPE LINE AIR CLEANING</t>
  </si>
  <si>
    <t>FLEXIBLE HOSE CHANGE</t>
  </si>
  <si>
    <t xml:space="preserve">LIFTING SHAFT AND BELT CHANGE </t>
  </si>
  <si>
    <t>TROLLEY WHEEL ASSLY CHANGE</t>
  </si>
  <si>
    <t>TURINING BELT CHANGE</t>
  </si>
  <si>
    <t>BALE PLUCKER TEETH PLATE CHANGE</t>
  </si>
  <si>
    <t>PLUCKING ROLL BRG CHANGE</t>
  </si>
  <si>
    <t>MCFD CAM ROLLER BRG CHANGE</t>
  </si>
  <si>
    <t>BEATER WIRE MOUNTING</t>
  </si>
  <si>
    <t>UNIMIX TENSION PULLEY SERVICE</t>
  </si>
  <si>
    <t xml:space="preserve">VXL AIR CLEANING </t>
  </si>
  <si>
    <t xml:space="preserve">VXL FAN BRG GREASING </t>
  </si>
  <si>
    <t>VXL FAN BELT CHANGE</t>
  </si>
  <si>
    <t>SECONDARY FILTER CLOTH CHANGE</t>
  </si>
  <si>
    <t>PRIMARY FILTER STEEL MESH CHANGE</t>
  </si>
  <si>
    <t>COMPACTER FILTER CLOTH CHANGE</t>
  </si>
  <si>
    <t xml:space="preserve">7 DAYS </t>
  </si>
  <si>
    <t>5 Y</t>
  </si>
  <si>
    <t>7 Y</t>
  </si>
  <si>
    <t>C/B</t>
  </si>
  <si>
    <t>7DAYS</t>
  </si>
  <si>
    <t>(1--5)</t>
  </si>
  <si>
    <t>TONNAGE BASIC</t>
  </si>
  <si>
    <t>UNI-2,3</t>
  </si>
  <si>
    <t>UNI-4</t>
  </si>
  <si>
    <t>UNI-1,5</t>
  </si>
  <si>
    <t>FLX-5</t>
  </si>
  <si>
    <t>BP-2</t>
  </si>
  <si>
    <t>BP-1</t>
  </si>
  <si>
    <t>Prep</t>
  </si>
  <si>
    <t>LCR</t>
  </si>
  <si>
    <t>Vortex</t>
  </si>
  <si>
    <t>Airjet</t>
  </si>
  <si>
    <t>Budget 26-27</t>
  </si>
  <si>
    <t>Total / yr</t>
  </si>
  <si>
    <t>SMX</t>
  </si>
  <si>
    <t>BR</t>
  </si>
  <si>
    <t>CARD</t>
  </si>
  <si>
    <t>RIETER RF</t>
  </si>
  <si>
    <t>LMW RF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</si>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</sst>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Arial Rounded MT Bold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6"/>
      <color theme="1"/>
      <name val="Arial Narrow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1" xfId="0" applyBorder="1"/>
    <xf numFmtId="17" fontId="0" fillId="0" borderId="1" xfId="0" applyNumberFormat="1" applyBorder="1"/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0" xfId="0" applyFont="1"/>
    <xf numFmtId="17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/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/>
    <xf numFmtId="17" fontId="0" fillId="0" borderId="4" xfId="0" applyNumberFormat="1" applyFont="1" applyBorder="1"/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2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16" fontId="0" fillId="0" borderId="14" xfId="0" applyNumberFormat="1" applyBorder="1" applyAlignment="1">
      <alignment horizontal="center" vertical="center"/>
    </xf>
    <xf numFmtId="16" fontId="0" fillId="0" borderId="23" xfId="0" applyNumberForma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16" fontId="0" fillId="0" borderId="21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6" fontId="0" fillId="0" borderId="24" xfId="0" applyNumberFormat="1" applyBorder="1" applyAlignment="1">
      <alignment horizontal="center" vertical="center"/>
    </xf>
    <xf numFmtId="16" fontId="0" fillId="0" borderId="15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16" fontId="0" fillId="0" borderId="1" xfId="0" applyNumberForma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17" fontId="0" fillId="0" borderId="4" xfId="0" applyNumberForma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7" fontId="0" fillId="0" borderId="13" xfId="0" applyNumberFormat="1" applyFon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7" fontId="0" fillId="0" borderId="1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3" fontId="1" fillId="0" borderId="21" xfId="0" applyNumberFormat="1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K231"/>
  <sheetViews>
    <sheetView topLeftCell="A161" zoomScaleNormal="100" workbookViewId="0">
      <selection activeCell="G139" sqref="G139:G174"/>
    </sheetView>
  </sheetViews>
  <sheetFormatPr defaultRowHeight="15" x14ac:dyDescent="0.25"/>
  <cols>
    <col min="3" max="3" width="14.42578125" customWidth="1"/>
    <col min="4" max="4" width="64.28515625" customWidth="1"/>
    <col min="5" max="5" width="21.42578125" customWidth="1"/>
    <col min="6" max="6" width="23.85546875" customWidth="1"/>
    <col min="7" max="7" width="21.7109375" customWidth="1"/>
    <col min="11" max="11" width="45.85546875" customWidth="1"/>
  </cols>
  <sheetData>
    <row r="1" spans="3:8" ht="15.75" thickBot="1" x14ac:dyDescent="0.3"/>
    <row r="2" spans="3:8" ht="33.75" customHeight="1" x14ac:dyDescent="0.25">
      <c r="C2" s="80" t="s">
        <v>4</v>
      </c>
      <c r="D2" s="81"/>
      <c r="E2" s="81"/>
      <c r="F2" s="81"/>
      <c r="G2" s="82"/>
    </row>
    <row r="3" spans="3:8" ht="24" customHeight="1" thickBot="1" x14ac:dyDescent="0.3">
      <c r="C3" s="18" t="s">
        <v>0</v>
      </c>
      <c r="D3" s="19" t="s">
        <v>1</v>
      </c>
      <c r="E3" s="19" t="s">
        <v>2</v>
      </c>
      <c r="F3" s="19" t="s">
        <v>3</v>
      </c>
      <c r="G3" s="20" t="s">
        <v>36</v>
      </c>
    </row>
    <row r="4" spans="3:8" x14ac:dyDescent="0.25">
      <c r="C4" s="13">
        <v>46143</v>
      </c>
      <c r="D4" s="9" t="s">
        <v>5</v>
      </c>
      <c r="E4" s="3" t="s">
        <v>12</v>
      </c>
      <c r="F4" s="9">
        <v>90000</v>
      </c>
      <c r="G4" s="73">
        <v>180000</v>
      </c>
    </row>
    <row r="5" spans="3:8" x14ac:dyDescent="0.25">
      <c r="C5" s="1"/>
      <c r="D5" s="1" t="s">
        <v>11</v>
      </c>
      <c r="E5" s="6" t="s">
        <v>14</v>
      </c>
      <c r="F5" s="1">
        <v>40000</v>
      </c>
      <c r="G5" s="69"/>
      <c r="H5" s="5"/>
    </row>
    <row r="6" spans="3:8" x14ac:dyDescent="0.25">
      <c r="C6" s="1"/>
      <c r="D6" s="1" t="s">
        <v>9</v>
      </c>
      <c r="E6" s="11" t="s">
        <v>13</v>
      </c>
      <c r="F6" s="1">
        <v>50000</v>
      </c>
      <c r="G6" s="69"/>
    </row>
    <row r="7" spans="3:8" x14ac:dyDescent="0.25">
      <c r="C7" s="1"/>
      <c r="D7" s="1"/>
      <c r="E7" s="11"/>
      <c r="F7" s="1"/>
      <c r="G7" s="69"/>
    </row>
    <row r="8" spans="3:8" x14ac:dyDescent="0.25">
      <c r="C8" s="2">
        <v>46174</v>
      </c>
      <c r="D8" s="1" t="s">
        <v>5</v>
      </c>
      <c r="E8" s="11" t="s">
        <v>15</v>
      </c>
      <c r="F8" s="1">
        <v>90000</v>
      </c>
      <c r="G8" s="70">
        <v>750000</v>
      </c>
    </row>
    <row r="9" spans="3:8" x14ac:dyDescent="0.25">
      <c r="C9" s="1"/>
      <c r="D9" s="1" t="s">
        <v>10</v>
      </c>
      <c r="E9" s="6" t="s">
        <v>14</v>
      </c>
      <c r="F9" s="1">
        <v>5000</v>
      </c>
      <c r="G9" s="70"/>
    </row>
    <row r="10" spans="3:8" x14ac:dyDescent="0.25">
      <c r="C10" s="1"/>
      <c r="D10" s="1" t="s">
        <v>8</v>
      </c>
      <c r="E10" s="11" t="s">
        <v>16</v>
      </c>
      <c r="F10" s="1">
        <v>330000</v>
      </c>
      <c r="G10" s="70"/>
    </row>
    <row r="11" spans="3:8" x14ac:dyDescent="0.25">
      <c r="C11" s="1"/>
      <c r="D11" s="1" t="s">
        <v>7</v>
      </c>
      <c r="E11" s="11">
        <v>9</v>
      </c>
      <c r="F11" s="1">
        <v>285000</v>
      </c>
      <c r="G11" s="70"/>
    </row>
    <row r="12" spans="3:8" x14ac:dyDescent="0.25">
      <c r="C12" s="1"/>
      <c r="D12" s="1" t="s">
        <v>11</v>
      </c>
      <c r="E12" s="6" t="s">
        <v>14</v>
      </c>
      <c r="F12" s="1">
        <v>40000</v>
      </c>
      <c r="G12" s="70"/>
    </row>
    <row r="13" spans="3:8" x14ac:dyDescent="0.25">
      <c r="C13" s="1"/>
      <c r="D13" s="1"/>
      <c r="E13" s="11"/>
      <c r="F13" s="1"/>
      <c r="G13" s="70"/>
    </row>
    <row r="14" spans="3:8" x14ac:dyDescent="0.25">
      <c r="C14" s="2">
        <v>46204</v>
      </c>
      <c r="D14" s="1" t="s">
        <v>5</v>
      </c>
      <c r="E14" s="11" t="s">
        <v>21</v>
      </c>
      <c r="F14" s="12">
        <v>90000</v>
      </c>
      <c r="G14" s="70">
        <v>1055000</v>
      </c>
    </row>
    <row r="15" spans="3:8" x14ac:dyDescent="0.25">
      <c r="C15" s="1"/>
      <c r="D15" s="1" t="s">
        <v>9</v>
      </c>
      <c r="E15" s="7" t="s">
        <v>17</v>
      </c>
      <c r="F15" s="12">
        <v>50000</v>
      </c>
      <c r="G15" s="69"/>
    </row>
    <row r="16" spans="3:8" x14ac:dyDescent="0.25">
      <c r="C16" s="1"/>
      <c r="D16" s="1" t="s">
        <v>8</v>
      </c>
      <c r="E16" s="11">
        <v>3</v>
      </c>
      <c r="F16" s="12">
        <v>165000</v>
      </c>
      <c r="G16" s="69"/>
    </row>
    <row r="17" spans="3:7" x14ac:dyDescent="0.25">
      <c r="C17" s="1"/>
      <c r="D17" s="1" t="s">
        <v>7</v>
      </c>
      <c r="E17" s="11">
        <v>18</v>
      </c>
      <c r="F17" s="12">
        <v>750000</v>
      </c>
      <c r="G17" s="69"/>
    </row>
    <row r="18" spans="3:7" x14ac:dyDescent="0.25">
      <c r="C18" s="1"/>
      <c r="D18" s="1"/>
      <c r="E18" s="11"/>
      <c r="F18" s="1"/>
      <c r="G18" s="69"/>
    </row>
    <row r="19" spans="3:7" x14ac:dyDescent="0.25">
      <c r="C19" s="2">
        <v>46235</v>
      </c>
      <c r="D19" s="1" t="s">
        <v>5</v>
      </c>
      <c r="E19" s="11" t="s">
        <v>20</v>
      </c>
      <c r="F19" s="1">
        <v>90000</v>
      </c>
      <c r="G19" s="70">
        <v>280000</v>
      </c>
    </row>
    <row r="20" spans="3:7" x14ac:dyDescent="0.25">
      <c r="C20" s="1"/>
      <c r="D20" s="1" t="s">
        <v>10</v>
      </c>
      <c r="E20" s="6" t="s">
        <v>14</v>
      </c>
      <c r="F20" s="1">
        <v>5000</v>
      </c>
      <c r="G20" s="69"/>
    </row>
    <row r="21" spans="3:7" x14ac:dyDescent="0.25">
      <c r="C21" s="1"/>
      <c r="D21" s="1" t="s">
        <v>6</v>
      </c>
      <c r="E21" s="11" t="s">
        <v>22</v>
      </c>
      <c r="F21" s="1">
        <v>120000</v>
      </c>
      <c r="G21" s="69"/>
    </row>
    <row r="22" spans="3:7" x14ac:dyDescent="0.25">
      <c r="C22" s="1"/>
      <c r="D22" s="1" t="s">
        <v>11</v>
      </c>
      <c r="E22" s="6" t="s">
        <v>14</v>
      </c>
      <c r="F22" s="1">
        <v>40000</v>
      </c>
      <c r="G22" s="69"/>
    </row>
    <row r="23" spans="3:7" x14ac:dyDescent="0.25">
      <c r="C23" s="1"/>
      <c r="D23" s="1" t="s">
        <v>18</v>
      </c>
      <c r="E23" s="11" t="s">
        <v>19</v>
      </c>
      <c r="F23" s="1">
        <v>25000</v>
      </c>
      <c r="G23" s="69"/>
    </row>
    <row r="24" spans="3:7" x14ac:dyDescent="0.25">
      <c r="C24" s="1"/>
      <c r="D24" s="1"/>
      <c r="E24" s="11"/>
      <c r="F24" s="1"/>
      <c r="G24" s="69"/>
    </row>
    <row r="25" spans="3:7" x14ac:dyDescent="0.25">
      <c r="C25" s="2">
        <v>46266</v>
      </c>
      <c r="D25" s="1" t="s">
        <v>23</v>
      </c>
      <c r="E25" s="11" t="s">
        <v>24</v>
      </c>
      <c r="F25" s="1">
        <v>90000</v>
      </c>
      <c r="G25" s="69">
        <v>660700</v>
      </c>
    </row>
    <row r="26" spans="3:7" x14ac:dyDescent="0.25">
      <c r="C26" s="1"/>
      <c r="D26" s="1" t="s">
        <v>9</v>
      </c>
      <c r="E26" s="11" t="s">
        <v>25</v>
      </c>
      <c r="F26" s="1">
        <v>30000</v>
      </c>
      <c r="G26" s="69"/>
    </row>
    <row r="27" spans="3:7" x14ac:dyDescent="0.25">
      <c r="C27" s="1"/>
      <c r="D27" s="4" t="s">
        <v>6</v>
      </c>
      <c r="E27" s="8" t="s">
        <v>26</v>
      </c>
      <c r="F27" s="1">
        <v>335700</v>
      </c>
      <c r="G27" s="69"/>
    </row>
    <row r="28" spans="3:7" x14ac:dyDescent="0.25">
      <c r="C28" s="1"/>
      <c r="D28" s="1" t="s">
        <v>11</v>
      </c>
      <c r="E28" s="6" t="s">
        <v>14</v>
      </c>
      <c r="F28" s="1">
        <v>40000</v>
      </c>
      <c r="G28" s="69"/>
    </row>
    <row r="29" spans="3:7" x14ac:dyDescent="0.25">
      <c r="C29" s="1"/>
      <c r="D29" s="1" t="s">
        <v>8</v>
      </c>
      <c r="E29" s="11">
        <v>2</v>
      </c>
      <c r="F29" s="1">
        <v>165000</v>
      </c>
      <c r="G29" s="69"/>
    </row>
    <row r="30" spans="3:7" x14ac:dyDescent="0.25">
      <c r="C30" s="1"/>
      <c r="D30" s="1"/>
      <c r="E30" s="11"/>
      <c r="F30" s="1"/>
      <c r="G30" s="69"/>
    </row>
    <row r="31" spans="3:7" x14ac:dyDescent="0.25">
      <c r="C31" s="2">
        <v>46296</v>
      </c>
      <c r="D31" s="1" t="s">
        <v>5</v>
      </c>
      <c r="E31" s="11" t="s">
        <v>27</v>
      </c>
      <c r="F31" s="1">
        <v>90000</v>
      </c>
      <c r="G31" s="69">
        <v>1013000</v>
      </c>
    </row>
    <row r="32" spans="3:7" x14ac:dyDescent="0.25">
      <c r="C32" s="1"/>
      <c r="D32" s="1" t="s">
        <v>10</v>
      </c>
      <c r="E32" s="6" t="s">
        <v>14</v>
      </c>
      <c r="F32" s="1">
        <v>5000</v>
      </c>
      <c r="G32" s="69"/>
    </row>
    <row r="33" spans="3:7" x14ac:dyDescent="0.25">
      <c r="C33" s="1"/>
      <c r="D33" s="1" t="s">
        <v>6</v>
      </c>
      <c r="E33" s="11" t="s">
        <v>28</v>
      </c>
      <c r="F33" s="1">
        <v>128000</v>
      </c>
      <c r="G33" s="69"/>
    </row>
    <row r="34" spans="3:7" x14ac:dyDescent="0.25">
      <c r="C34" s="1"/>
      <c r="D34" s="1" t="s">
        <v>11</v>
      </c>
      <c r="E34" s="6" t="s">
        <v>14</v>
      </c>
      <c r="F34" s="1">
        <v>40000</v>
      </c>
      <c r="G34" s="69"/>
    </row>
    <row r="35" spans="3:7" x14ac:dyDescent="0.25">
      <c r="C35" s="1"/>
      <c r="D35" s="1" t="s">
        <v>7</v>
      </c>
      <c r="E35" s="11">
        <v>17</v>
      </c>
      <c r="F35" s="1">
        <v>750000</v>
      </c>
      <c r="G35" s="69"/>
    </row>
    <row r="36" spans="3:7" x14ac:dyDescent="0.25">
      <c r="C36" s="1"/>
      <c r="D36" s="1"/>
      <c r="E36" s="11"/>
      <c r="F36" s="1"/>
      <c r="G36" s="69"/>
    </row>
    <row r="37" spans="3:7" x14ac:dyDescent="0.25">
      <c r="C37" s="2">
        <v>46327</v>
      </c>
      <c r="D37" s="1" t="s">
        <v>5</v>
      </c>
      <c r="E37" s="11" t="s">
        <v>29</v>
      </c>
      <c r="F37" s="1">
        <v>90000</v>
      </c>
      <c r="G37" s="70">
        <v>803000</v>
      </c>
    </row>
    <row r="38" spans="3:7" x14ac:dyDescent="0.25">
      <c r="C38" s="1"/>
      <c r="D38" s="1" t="s">
        <v>6</v>
      </c>
      <c r="E38" s="11" t="s">
        <v>24</v>
      </c>
      <c r="F38" s="1">
        <v>128000</v>
      </c>
      <c r="G38" s="69"/>
    </row>
    <row r="39" spans="3:7" x14ac:dyDescent="0.25">
      <c r="C39" s="1"/>
      <c r="D39" s="1" t="s">
        <v>8</v>
      </c>
      <c r="E39" s="11">
        <v>1</v>
      </c>
      <c r="F39" s="1">
        <v>165000</v>
      </c>
      <c r="G39" s="69"/>
    </row>
    <row r="40" spans="3:7" x14ac:dyDescent="0.25">
      <c r="C40" s="1"/>
      <c r="D40" s="1" t="s">
        <v>7</v>
      </c>
      <c r="E40" s="11">
        <v>5</v>
      </c>
      <c r="F40" s="1">
        <v>380000</v>
      </c>
      <c r="G40" s="69"/>
    </row>
    <row r="41" spans="3:7" x14ac:dyDescent="0.25">
      <c r="C41" s="1"/>
      <c r="D41" s="1" t="s">
        <v>11</v>
      </c>
      <c r="E41" s="6" t="s">
        <v>14</v>
      </c>
      <c r="F41" s="1">
        <v>40000</v>
      </c>
      <c r="G41" s="69"/>
    </row>
    <row r="42" spans="3:7" x14ac:dyDescent="0.25">
      <c r="C42" s="1"/>
      <c r="D42" s="1"/>
      <c r="E42" s="11"/>
      <c r="F42" s="1">
        <f>SUM(F37:F41)</f>
        <v>803000</v>
      </c>
      <c r="G42" s="69"/>
    </row>
    <row r="43" spans="3:7" x14ac:dyDescent="0.25">
      <c r="C43" s="2">
        <v>46357</v>
      </c>
      <c r="D43" s="1" t="s">
        <v>5</v>
      </c>
      <c r="E43" s="11" t="s">
        <v>32</v>
      </c>
      <c r="F43" s="12">
        <v>90000</v>
      </c>
      <c r="G43" s="69">
        <v>515000</v>
      </c>
    </row>
    <row r="44" spans="3:7" x14ac:dyDescent="0.25">
      <c r="C44" s="1"/>
      <c r="D44" s="1" t="s">
        <v>10</v>
      </c>
      <c r="E44" s="6" t="s">
        <v>14</v>
      </c>
      <c r="F44" s="12">
        <v>5000</v>
      </c>
      <c r="G44" s="69"/>
    </row>
    <row r="45" spans="3:7" x14ac:dyDescent="0.25">
      <c r="C45" s="1"/>
      <c r="D45" s="1" t="s">
        <v>7</v>
      </c>
      <c r="E45" s="11">
        <v>3</v>
      </c>
      <c r="F45" s="12">
        <v>380000</v>
      </c>
      <c r="G45" s="69"/>
    </row>
    <row r="46" spans="3:7" x14ac:dyDescent="0.25">
      <c r="C46" s="1"/>
      <c r="D46" s="1" t="s">
        <v>11</v>
      </c>
      <c r="E46" s="6" t="s">
        <v>14</v>
      </c>
      <c r="F46" s="12">
        <v>40000</v>
      </c>
      <c r="G46" s="69"/>
    </row>
    <row r="47" spans="3:7" x14ac:dyDescent="0.25">
      <c r="C47" s="1"/>
      <c r="D47" s="1"/>
      <c r="E47" s="11"/>
      <c r="F47" s="1"/>
      <c r="G47" s="69"/>
    </row>
    <row r="48" spans="3:7" x14ac:dyDescent="0.25">
      <c r="C48" s="2">
        <v>46388</v>
      </c>
      <c r="D48" s="1" t="s">
        <v>5</v>
      </c>
      <c r="E48" s="11" t="s">
        <v>30</v>
      </c>
      <c r="F48" s="1">
        <v>90000</v>
      </c>
      <c r="G48" s="69">
        <v>773000</v>
      </c>
    </row>
    <row r="49" spans="3:7" x14ac:dyDescent="0.25">
      <c r="C49" s="1"/>
      <c r="D49" s="1" t="s">
        <v>6</v>
      </c>
      <c r="E49" s="11" t="s">
        <v>31</v>
      </c>
      <c r="F49" s="1">
        <v>218000</v>
      </c>
      <c r="G49" s="69"/>
    </row>
    <row r="50" spans="3:7" x14ac:dyDescent="0.25">
      <c r="C50" s="1"/>
      <c r="D50" s="1" t="s">
        <v>7</v>
      </c>
      <c r="E50" s="11">
        <v>16</v>
      </c>
      <c r="F50" s="1">
        <v>425000</v>
      </c>
      <c r="G50" s="69"/>
    </row>
    <row r="51" spans="3:7" x14ac:dyDescent="0.25">
      <c r="C51" s="1"/>
      <c r="D51" s="1" t="s">
        <v>11</v>
      </c>
      <c r="E51" s="6" t="s">
        <v>14</v>
      </c>
      <c r="F51" s="1">
        <v>40000</v>
      </c>
      <c r="G51" s="69"/>
    </row>
    <row r="52" spans="3:7" x14ac:dyDescent="0.25">
      <c r="C52" s="1"/>
      <c r="D52" s="1"/>
      <c r="E52" s="11"/>
      <c r="G52" s="69"/>
    </row>
    <row r="53" spans="3:7" x14ac:dyDescent="0.25">
      <c r="C53" s="2">
        <v>46419</v>
      </c>
      <c r="D53" s="1" t="s">
        <v>5</v>
      </c>
      <c r="E53" s="11">
        <v>20</v>
      </c>
      <c r="F53" s="1">
        <v>45000</v>
      </c>
      <c r="G53" s="71">
        <v>875000</v>
      </c>
    </row>
    <row r="54" spans="3:7" x14ac:dyDescent="0.25">
      <c r="C54" s="1"/>
      <c r="D54" s="1" t="s">
        <v>10</v>
      </c>
      <c r="E54" s="6" t="s">
        <v>14</v>
      </c>
      <c r="F54" s="1">
        <v>5000</v>
      </c>
      <c r="G54" s="72"/>
    </row>
    <row r="55" spans="3:7" x14ac:dyDescent="0.25">
      <c r="C55" s="1"/>
      <c r="D55" s="1" t="s">
        <v>9</v>
      </c>
      <c r="E55" s="11" t="s">
        <v>33</v>
      </c>
      <c r="F55" s="1">
        <v>25000</v>
      </c>
      <c r="G55" s="72"/>
    </row>
    <row r="56" spans="3:7" x14ac:dyDescent="0.25">
      <c r="C56" s="1"/>
      <c r="D56" s="1" t="s">
        <v>7</v>
      </c>
      <c r="E56" s="11" t="s">
        <v>34</v>
      </c>
      <c r="F56" s="1">
        <v>760000</v>
      </c>
      <c r="G56" s="72"/>
    </row>
    <row r="57" spans="3:7" x14ac:dyDescent="0.25">
      <c r="C57" s="1"/>
      <c r="D57" s="1" t="s">
        <v>11</v>
      </c>
      <c r="E57" s="6" t="s">
        <v>14</v>
      </c>
      <c r="F57" s="1">
        <v>40000</v>
      </c>
      <c r="G57" s="72"/>
    </row>
    <row r="58" spans="3:7" x14ac:dyDescent="0.25">
      <c r="C58" s="1"/>
      <c r="D58" s="1"/>
      <c r="E58" s="6"/>
      <c r="F58" s="1"/>
      <c r="G58" s="73"/>
    </row>
    <row r="59" spans="3:7" x14ac:dyDescent="0.25">
      <c r="C59" s="2">
        <v>46447</v>
      </c>
      <c r="D59" s="1" t="s">
        <v>5</v>
      </c>
      <c r="E59" s="11">
        <v>16</v>
      </c>
      <c r="F59" s="12">
        <v>45000</v>
      </c>
      <c r="G59" s="74">
        <v>728000</v>
      </c>
    </row>
    <row r="60" spans="3:7" x14ac:dyDescent="0.25">
      <c r="C60" s="1"/>
      <c r="D60" s="1" t="s">
        <v>6</v>
      </c>
      <c r="E60" s="11" t="s">
        <v>35</v>
      </c>
      <c r="F60" s="12">
        <v>218000</v>
      </c>
      <c r="G60" s="75"/>
    </row>
    <row r="61" spans="3:7" x14ac:dyDescent="0.25">
      <c r="C61" s="1"/>
      <c r="D61" s="1" t="s">
        <v>7</v>
      </c>
      <c r="E61" s="11">
        <v>12</v>
      </c>
      <c r="F61" s="12">
        <v>425000</v>
      </c>
      <c r="G61" s="75"/>
    </row>
    <row r="62" spans="3:7" x14ac:dyDescent="0.25">
      <c r="C62" s="1"/>
      <c r="D62" s="1" t="s">
        <v>11</v>
      </c>
      <c r="E62" s="6" t="s">
        <v>14</v>
      </c>
      <c r="F62" s="12">
        <v>40000</v>
      </c>
      <c r="G62" s="76"/>
    </row>
    <row r="63" spans="3:7" ht="24.75" customHeight="1" x14ac:dyDescent="0.25">
      <c r="F63" s="16" t="s">
        <v>36</v>
      </c>
      <c r="G63" s="17">
        <f>SUM(G4:G62)</f>
        <v>7632700</v>
      </c>
    </row>
    <row r="67" spans="3:7" ht="15.75" thickBot="1" x14ac:dyDescent="0.3"/>
    <row r="68" spans="3:7" ht="36.75" customHeight="1" thickBot="1" x14ac:dyDescent="0.3">
      <c r="C68" s="66" t="s">
        <v>37</v>
      </c>
      <c r="D68" s="67"/>
      <c r="E68" s="67"/>
      <c r="F68" s="67"/>
      <c r="G68" s="68"/>
    </row>
    <row r="69" spans="3:7" ht="21" customHeight="1" thickBot="1" x14ac:dyDescent="0.3">
      <c r="C69" s="14" t="s">
        <v>0</v>
      </c>
      <c r="D69" s="15" t="s">
        <v>1</v>
      </c>
      <c r="E69" s="15" t="s">
        <v>2</v>
      </c>
      <c r="F69" s="15" t="s">
        <v>3</v>
      </c>
      <c r="G69" s="50" t="s">
        <v>36</v>
      </c>
    </row>
    <row r="70" spans="3:7" x14ac:dyDescent="0.25">
      <c r="C70" s="51">
        <v>46143</v>
      </c>
      <c r="D70" s="10" t="s">
        <v>5</v>
      </c>
      <c r="E70" s="10" t="s">
        <v>15</v>
      </c>
      <c r="F70" s="52">
        <v>120000</v>
      </c>
      <c r="G70" s="88">
        <v>310000</v>
      </c>
    </row>
    <row r="71" spans="3:7" x14ac:dyDescent="0.25">
      <c r="C71" s="35"/>
      <c r="D71" s="11" t="s">
        <v>38</v>
      </c>
      <c r="E71" s="6" t="s">
        <v>46</v>
      </c>
      <c r="F71" s="53">
        <v>45000</v>
      </c>
      <c r="G71" s="78"/>
    </row>
    <row r="72" spans="3:7" x14ac:dyDescent="0.25">
      <c r="C72" s="35"/>
      <c r="D72" s="11" t="s">
        <v>39</v>
      </c>
      <c r="E72" s="11" t="s">
        <v>47</v>
      </c>
      <c r="F72" s="53">
        <v>15000</v>
      </c>
      <c r="G72" s="78"/>
    </row>
    <row r="73" spans="3:7" x14ac:dyDescent="0.25">
      <c r="C73" s="35"/>
      <c r="D73" s="11" t="s">
        <v>43</v>
      </c>
      <c r="E73" s="11" t="s">
        <v>15</v>
      </c>
      <c r="F73" s="53">
        <v>90000</v>
      </c>
      <c r="G73" s="78"/>
    </row>
    <row r="74" spans="3:7" x14ac:dyDescent="0.25">
      <c r="C74" s="35"/>
      <c r="D74" s="54" t="s">
        <v>45</v>
      </c>
      <c r="E74" s="11" t="s">
        <v>48</v>
      </c>
      <c r="F74" s="53">
        <v>40000</v>
      </c>
      <c r="G74" s="78"/>
    </row>
    <row r="75" spans="3:7" x14ac:dyDescent="0.25">
      <c r="C75" s="35"/>
      <c r="D75" s="11"/>
      <c r="E75" s="11"/>
      <c r="F75" s="53"/>
      <c r="G75" s="79"/>
    </row>
    <row r="76" spans="3:7" x14ac:dyDescent="0.25">
      <c r="C76" s="55">
        <v>46174</v>
      </c>
      <c r="D76" s="11" t="s">
        <v>5</v>
      </c>
      <c r="E76" s="11" t="s">
        <v>49</v>
      </c>
      <c r="F76" s="11">
        <v>120000</v>
      </c>
      <c r="G76" s="77">
        <v>353000</v>
      </c>
    </row>
    <row r="77" spans="3:7" x14ac:dyDescent="0.25">
      <c r="C77" s="35"/>
      <c r="D77" s="11" t="s">
        <v>38</v>
      </c>
      <c r="E77" s="11" t="s">
        <v>51</v>
      </c>
      <c r="F77" s="11">
        <v>45000</v>
      </c>
      <c r="G77" s="78"/>
    </row>
    <row r="78" spans="3:7" x14ac:dyDescent="0.25">
      <c r="C78" s="35"/>
      <c r="D78" s="11" t="s">
        <v>39</v>
      </c>
      <c r="E78" s="11" t="s">
        <v>31</v>
      </c>
      <c r="F78" s="11">
        <v>15000</v>
      </c>
      <c r="G78" s="78"/>
    </row>
    <row r="79" spans="3:7" x14ac:dyDescent="0.25">
      <c r="C79" s="35"/>
      <c r="D79" s="11" t="s">
        <v>42</v>
      </c>
      <c r="E79" s="11">
        <v>7</v>
      </c>
      <c r="F79" s="11">
        <v>7500</v>
      </c>
      <c r="G79" s="78"/>
    </row>
    <row r="80" spans="3:7" x14ac:dyDescent="0.25">
      <c r="C80" s="35"/>
      <c r="D80" s="11" t="s">
        <v>9</v>
      </c>
      <c r="E80" s="11" t="s">
        <v>53</v>
      </c>
      <c r="F80" s="11">
        <v>5000</v>
      </c>
      <c r="G80" s="78"/>
    </row>
    <row r="81" spans="3:7" x14ac:dyDescent="0.25">
      <c r="C81" s="35"/>
      <c r="D81" s="54" t="s">
        <v>45</v>
      </c>
      <c r="E81" s="11" t="s">
        <v>48</v>
      </c>
      <c r="F81" s="11">
        <v>40000</v>
      </c>
      <c r="G81" s="78"/>
    </row>
    <row r="82" spans="3:7" x14ac:dyDescent="0.25">
      <c r="C82" s="35"/>
      <c r="D82" s="11" t="s">
        <v>52</v>
      </c>
      <c r="E82" s="11" t="s">
        <v>50</v>
      </c>
      <c r="F82" s="11">
        <v>1000</v>
      </c>
      <c r="G82" s="78"/>
    </row>
    <row r="83" spans="3:7" x14ac:dyDescent="0.25">
      <c r="C83" s="35"/>
      <c r="D83" s="11" t="s">
        <v>44</v>
      </c>
      <c r="E83" s="11" t="s">
        <v>27</v>
      </c>
      <c r="F83" s="11">
        <v>120000</v>
      </c>
      <c r="G83" s="78"/>
    </row>
    <row r="84" spans="3:7" x14ac:dyDescent="0.25">
      <c r="C84" s="35"/>
      <c r="D84" s="11"/>
      <c r="E84" s="56"/>
      <c r="F84" s="11"/>
      <c r="G84" s="79"/>
    </row>
    <row r="85" spans="3:7" x14ac:dyDescent="0.25">
      <c r="C85" s="55">
        <v>46204</v>
      </c>
      <c r="D85" s="11" t="s">
        <v>5</v>
      </c>
      <c r="E85" s="11">
        <v>12</v>
      </c>
      <c r="F85" s="57">
        <v>60000</v>
      </c>
      <c r="G85" s="83">
        <v>375000</v>
      </c>
    </row>
    <row r="86" spans="3:7" x14ac:dyDescent="0.25">
      <c r="C86" s="35"/>
      <c r="D86" s="11" t="s">
        <v>39</v>
      </c>
      <c r="E86" s="11" t="s">
        <v>55</v>
      </c>
      <c r="F86" s="57">
        <v>15000</v>
      </c>
      <c r="G86" s="84"/>
    </row>
    <row r="87" spans="3:7" x14ac:dyDescent="0.25">
      <c r="C87" s="35"/>
      <c r="D87" s="11" t="s">
        <v>42</v>
      </c>
      <c r="E87" s="11" t="s">
        <v>54</v>
      </c>
      <c r="F87" s="57">
        <v>15000</v>
      </c>
      <c r="G87" s="84"/>
    </row>
    <row r="88" spans="3:7" x14ac:dyDescent="0.25">
      <c r="C88" s="35"/>
      <c r="D88" s="11" t="s">
        <v>41</v>
      </c>
      <c r="E88" s="11" t="s">
        <v>56</v>
      </c>
      <c r="F88" s="57">
        <v>60000</v>
      </c>
      <c r="G88" s="84"/>
    </row>
    <row r="89" spans="3:7" x14ac:dyDescent="0.25">
      <c r="C89" s="35"/>
      <c r="D89" s="54" t="s">
        <v>45</v>
      </c>
      <c r="E89" s="11" t="s">
        <v>57</v>
      </c>
      <c r="F89" s="57">
        <v>40000</v>
      </c>
      <c r="G89" s="84"/>
    </row>
    <row r="90" spans="3:7" x14ac:dyDescent="0.25">
      <c r="C90" s="35"/>
      <c r="D90" s="11" t="s">
        <v>43</v>
      </c>
      <c r="E90" s="11" t="s">
        <v>49</v>
      </c>
      <c r="F90" s="57">
        <v>120000</v>
      </c>
      <c r="G90" s="84"/>
    </row>
    <row r="91" spans="3:7" x14ac:dyDescent="0.25">
      <c r="C91" s="35"/>
      <c r="D91" s="11" t="s">
        <v>44</v>
      </c>
      <c r="E91" s="11" t="s">
        <v>58</v>
      </c>
      <c r="F91" s="57">
        <v>65000</v>
      </c>
      <c r="G91" s="84"/>
    </row>
    <row r="92" spans="3:7" x14ac:dyDescent="0.25">
      <c r="C92" s="35"/>
      <c r="D92" s="11"/>
      <c r="E92" s="11"/>
      <c r="F92" s="57"/>
      <c r="G92" s="84"/>
    </row>
    <row r="93" spans="3:7" x14ac:dyDescent="0.25">
      <c r="C93" s="55">
        <v>46235</v>
      </c>
      <c r="D93" s="11" t="s">
        <v>5</v>
      </c>
      <c r="E93" s="11" t="s">
        <v>61</v>
      </c>
      <c r="F93" s="11">
        <v>120000</v>
      </c>
      <c r="G93" s="77">
        <v>287000</v>
      </c>
    </row>
    <row r="94" spans="3:7" x14ac:dyDescent="0.25">
      <c r="C94" s="35"/>
      <c r="D94" s="11" t="s">
        <v>42</v>
      </c>
      <c r="E94" s="11">
        <v>17</v>
      </c>
      <c r="F94" s="11">
        <v>7000</v>
      </c>
      <c r="G94" s="78"/>
    </row>
    <row r="95" spans="3:7" x14ac:dyDescent="0.25">
      <c r="C95" s="35"/>
      <c r="D95" s="11" t="s">
        <v>39</v>
      </c>
      <c r="E95" s="11" t="s">
        <v>60</v>
      </c>
      <c r="F95" s="11">
        <v>10000</v>
      </c>
      <c r="G95" s="78"/>
    </row>
    <row r="96" spans="3:7" x14ac:dyDescent="0.25">
      <c r="C96" s="35"/>
      <c r="D96" s="11" t="s">
        <v>41</v>
      </c>
      <c r="E96" s="11" t="s">
        <v>59</v>
      </c>
      <c r="F96" s="11">
        <v>60000</v>
      </c>
      <c r="G96" s="78"/>
    </row>
    <row r="97" spans="3:7" x14ac:dyDescent="0.25">
      <c r="C97" s="35"/>
      <c r="D97" s="11" t="s">
        <v>44</v>
      </c>
      <c r="E97" s="11" t="s">
        <v>62</v>
      </c>
      <c r="F97" s="57">
        <v>80000</v>
      </c>
      <c r="G97" s="78"/>
    </row>
    <row r="98" spans="3:7" x14ac:dyDescent="0.25">
      <c r="C98" s="35"/>
      <c r="D98" s="11"/>
      <c r="E98" s="11"/>
      <c r="F98" s="11"/>
      <c r="G98" s="79"/>
    </row>
    <row r="99" spans="3:7" x14ac:dyDescent="0.25">
      <c r="C99" s="55">
        <v>46266</v>
      </c>
      <c r="D99" s="11" t="s">
        <v>52</v>
      </c>
      <c r="E99" s="11" t="s">
        <v>50</v>
      </c>
      <c r="F99" s="11">
        <v>1000</v>
      </c>
      <c r="G99" s="85">
        <v>260500</v>
      </c>
    </row>
    <row r="100" spans="3:7" x14ac:dyDescent="0.25">
      <c r="C100" s="35"/>
      <c r="D100" s="11" t="s">
        <v>5</v>
      </c>
      <c r="E100" s="11" t="s">
        <v>62</v>
      </c>
      <c r="F100" s="11">
        <v>120000</v>
      </c>
      <c r="G100" s="86"/>
    </row>
    <row r="101" spans="3:7" x14ac:dyDescent="0.25">
      <c r="C101" s="35"/>
      <c r="D101" s="11" t="s">
        <v>38</v>
      </c>
      <c r="E101" s="11">
        <v>17</v>
      </c>
      <c r="F101" s="11">
        <v>7500</v>
      </c>
      <c r="G101" s="86"/>
    </row>
    <row r="102" spans="3:7" x14ac:dyDescent="0.25">
      <c r="C102" s="35"/>
      <c r="D102" s="11" t="s">
        <v>40</v>
      </c>
      <c r="E102" s="11" t="s">
        <v>53</v>
      </c>
      <c r="F102" s="11">
        <v>12000</v>
      </c>
      <c r="G102" s="86"/>
    </row>
    <row r="103" spans="3:7" x14ac:dyDescent="0.25">
      <c r="C103" s="35"/>
      <c r="D103" s="11" t="s">
        <v>44</v>
      </c>
      <c r="E103" s="11" t="s">
        <v>53</v>
      </c>
      <c r="F103" s="11">
        <v>120000</v>
      </c>
      <c r="G103" s="87"/>
    </row>
    <row r="104" spans="3:7" x14ac:dyDescent="0.25">
      <c r="C104" s="35"/>
      <c r="D104" s="11"/>
      <c r="E104" s="11"/>
      <c r="F104" s="11"/>
      <c r="G104" s="44"/>
    </row>
    <row r="105" spans="3:7" x14ac:dyDescent="0.25">
      <c r="C105" s="55">
        <v>46296</v>
      </c>
      <c r="D105" s="11" t="s">
        <v>43</v>
      </c>
      <c r="E105" s="11" t="s">
        <v>61</v>
      </c>
      <c r="F105" s="11">
        <v>80000</v>
      </c>
      <c r="G105" s="77">
        <v>190000</v>
      </c>
    </row>
    <row r="106" spans="3:7" x14ac:dyDescent="0.25">
      <c r="C106" s="35"/>
      <c r="D106" s="11" t="s">
        <v>9</v>
      </c>
      <c r="E106" s="11" t="s">
        <v>66</v>
      </c>
      <c r="F106" s="11">
        <v>10000</v>
      </c>
      <c r="G106" s="78"/>
    </row>
    <row r="107" spans="3:7" x14ac:dyDescent="0.25">
      <c r="C107" s="35"/>
      <c r="D107" s="11" t="s">
        <v>41</v>
      </c>
      <c r="E107" s="11" t="s">
        <v>63</v>
      </c>
      <c r="F107" s="11">
        <v>60000</v>
      </c>
      <c r="G107" s="78"/>
    </row>
    <row r="108" spans="3:7" x14ac:dyDescent="0.25">
      <c r="C108" s="35"/>
      <c r="D108" s="54" t="s">
        <v>45</v>
      </c>
      <c r="E108" s="11" t="s">
        <v>57</v>
      </c>
      <c r="F108" s="11">
        <v>40000</v>
      </c>
      <c r="G108" s="78"/>
    </row>
    <row r="109" spans="3:7" x14ac:dyDescent="0.25">
      <c r="C109" s="35"/>
      <c r="D109" s="11"/>
      <c r="E109" s="11"/>
      <c r="F109" s="11"/>
      <c r="G109" s="79"/>
    </row>
    <row r="110" spans="3:7" x14ac:dyDescent="0.25">
      <c r="C110" s="55">
        <v>46327</v>
      </c>
      <c r="D110" s="11" t="s">
        <v>44</v>
      </c>
      <c r="E110" s="11" t="s">
        <v>64</v>
      </c>
      <c r="F110" s="11">
        <v>120000</v>
      </c>
      <c r="G110" s="77">
        <v>215000</v>
      </c>
    </row>
    <row r="111" spans="3:7" x14ac:dyDescent="0.25">
      <c r="C111" s="35"/>
      <c r="D111" s="11" t="s">
        <v>9</v>
      </c>
      <c r="E111" s="11" t="s">
        <v>31</v>
      </c>
      <c r="F111" s="11">
        <v>15000</v>
      </c>
      <c r="G111" s="78"/>
    </row>
    <row r="112" spans="3:7" x14ac:dyDescent="0.25">
      <c r="C112" s="35"/>
      <c r="D112" s="11" t="s">
        <v>43</v>
      </c>
      <c r="E112" s="11">
        <v>12</v>
      </c>
      <c r="F112" s="11">
        <v>40000</v>
      </c>
      <c r="G112" s="78"/>
    </row>
    <row r="113" spans="3:7" x14ac:dyDescent="0.25">
      <c r="C113" s="35"/>
      <c r="D113" s="54" t="s">
        <v>45</v>
      </c>
      <c r="E113" s="11" t="s">
        <v>57</v>
      </c>
      <c r="F113" s="11">
        <v>40000</v>
      </c>
      <c r="G113" s="78"/>
    </row>
    <row r="114" spans="3:7" x14ac:dyDescent="0.25">
      <c r="C114" s="35"/>
      <c r="D114" s="11"/>
      <c r="E114" s="11"/>
      <c r="F114" s="11"/>
      <c r="G114" s="79"/>
    </row>
    <row r="115" spans="3:7" x14ac:dyDescent="0.25">
      <c r="C115" s="35" t="s">
        <v>65</v>
      </c>
      <c r="D115" s="11" t="s">
        <v>52</v>
      </c>
      <c r="E115" s="11" t="s">
        <v>50</v>
      </c>
      <c r="F115" s="11">
        <v>1000</v>
      </c>
      <c r="G115" s="77">
        <v>131000</v>
      </c>
    </row>
    <row r="116" spans="3:7" x14ac:dyDescent="0.25">
      <c r="C116" s="35"/>
      <c r="D116" s="11" t="s">
        <v>9</v>
      </c>
      <c r="E116" s="11">
        <v>16</v>
      </c>
      <c r="F116" s="11">
        <v>5000</v>
      </c>
      <c r="G116" s="78"/>
    </row>
    <row r="117" spans="3:7" x14ac:dyDescent="0.25">
      <c r="C117" s="35"/>
      <c r="D117" s="54" t="s">
        <v>45</v>
      </c>
      <c r="E117" s="11" t="s">
        <v>57</v>
      </c>
      <c r="F117" s="11">
        <v>40000</v>
      </c>
      <c r="G117" s="78"/>
    </row>
    <row r="118" spans="3:7" x14ac:dyDescent="0.25">
      <c r="C118" s="35"/>
      <c r="D118" s="11" t="s">
        <v>44</v>
      </c>
      <c r="E118" s="11" t="s">
        <v>66</v>
      </c>
      <c r="F118" s="11">
        <v>85000</v>
      </c>
      <c r="G118" s="78"/>
    </row>
    <row r="119" spans="3:7" x14ac:dyDescent="0.25">
      <c r="C119" s="35"/>
      <c r="D119" s="11"/>
      <c r="E119" s="11"/>
      <c r="F119" s="11"/>
      <c r="G119" s="79"/>
    </row>
    <row r="120" spans="3:7" x14ac:dyDescent="0.25">
      <c r="C120" s="55">
        <v>46388</v>
      </c>
      <c r="D120" s="11" t="s">
        <v>38</v>
      </c>
      <c r="E120" s="11" t="s">
        <v>49</v>
      </c>
      <c r="F120" s="11">
        <v>45000</v>
      </c>
      <c r="G120" s="77">
        <v>167500</v>
      </c>
    </row>
    <row r="121" spans="3:7" x14ac:dyDescent="0.25">
      <c r="C121" s="35"/>
      <c r="D121" s="11" t="s">
        <v>42</v>
      </c>
      <c r="E121" s="11" t="s">
        <v>49</v>
      </c>
      <c r="F121" s="11">
        <v>22500</v>
      </c>
      <c r="G121" s="78"/>
    </row>
    <row r="122" spans="3:7" x14ac:dyDescent="0.25">
      <c r="C122" s="35"/>
      <c r="D122" s="54" t="s">
        <v>45</v>
      </c>
      <c r="E122" s="11" t="s">
        <v>57</v>
      </c>
      <c r="F122" s="11">
        <v>40000</v>
      </c>
      <c r="G122" s="78"/>
    </row>
    <row r="123" spans="3:7" x14ac:dyDescent="0.25">
      <c r="C123" s="35"/>
      <c r="D123" s="11" t="s">
        <v>41</v>
      </c>
      <c r="E123" s="11" t="s">
        <v>138</v>
      </c>
      <c r="F123" s="11">
        <v>60000</v>
      </c>
      <c r="G123" s="79"/>
    </row>
    <row r="124" spans="3:7" x14ac:dyDescent="0.25">
      <c r="C124" s="55">
        <v>46419</v>
      </c>
      <c r="D124" s="11" t="s">
        <v>38</v>
      </c>
      <c r="E124" s="11" t="s">
        <v>62</v>
      </c>
      <c r="F124" s="11">
        <v>45000</v>
      </c>
      <c r="G124" s="77">
        <v>205500</v>
      </c>
    </row>
    <row r="125" spans="3:7" x14ac:dyDescent="0.25">
      <c r="C125" s="35"/>
      <c r="D125" s="11" t="s">
        <v>42</v>
      </c>
      <c r="E125" s="11" t="s">
        <v>62</v>
      </c>
      <c r="F125" s="11">
        <v>22500</v>
      </c>
      <c r="G125" s="78"/>
    </row>
    <row r="126" spans="3:7" x14ac:dyDescent="0.25">
      <c r="C126" s="35"/>
      <c r="D126" s="54" t="s">
        <v>45</v>
      </c>
      <c r="E126" s="11" t="s">
        <v>57</v>
      </c>
      <c r="F126" s="11">
        <v>40000</v>
      </c>
      <c r="G126" s="78"/>
    </row>
    <row r="127" spans="3:7" x14ac:dyDescent="0.25">
      <c r="C127" s="35"/>
      <c r="D127" s="11" t="s">
        <v>43</v>
      </c>
      <c r="E127" s="11" t="s">
        <v>12</v>
      </c>
      <c r="F127" s="11">
        <v>80000</v>
      </c>
      <c r="G127" s="78"/>
    </row>
    <row r="128" spans="3:7" x14ac:dyDescent="0.25">
      <c r="C128" s="35"/>
      <c r="D128" s="11" t="s">
        <v>68</v>
      </c>
      <c r="E128" s="11" t="s">
        <v>70</v>
      </c>
      <c r="F128" s="11">
        <v>18000</v>
      </c>
      <c r="G128" s="78"/>
    </row>
    <row r="129" spans="3:9" x14ac:dyDescent="0.25">
      <c r="C129" s="35"/>
      <c r="D129" s="11"/>
      <c r="E129" s="11"/>
      <c r="F129" s="11"/>
      <c r="G129" s="79"/>
    </row>
    <row r="130" spans="3:9" x14ac:dyDescent="0.25">
      <c r="C130" s="55">
        <v>46447</v>
      </c>
      <c r="D130" s="11" t="s">
        <v>5</v>
      </c>
      <c r="E130" s="11" t="s">
        <v>53</v>
      </c>
      <c r="F130" s="11">
        <v>120000</v>
      </c>
      <c r="G130" s="77">
        <v>161500</v>
      </c>
    </row>
    <row r="131" spans="3:9" x14ac:dyDescent="0.25">
      <c r="C131" s="35"/>
      <c r="D131" s="11" t="s">
        <v>52</v>
      </c>
      <c r="E131" s="11" t="s">
        <v>50</v>
      </c>
      <c r="F131" s="11">
        <v>1000</v>
      </c>
      <c r="G131" s="78"/>
    </row>
    <row r="132" spans="3:9" x14ac:dyDescent="0.25">
      <c r="C132" s="35"/>
      <c r="D132" s="11" t="s">
        <v>42</v>
      </c>
      <c r="E132" s="11" t="s">
        <v>67</v>
      </c>
      <c r="F132" s="11">
        <v>22500</v>
      </c>
      <c r="G132" s="78"/>
    </row>
    <row r="133" spans="3:9" ht="15.75" thickBot="1" x14ac:dyDescent="0.3">
      <c r="C133" s="58"/>
      <c r="D133" s="59" t="s">
        <v>68</v>
      </c>
      <c r="E133" s="59" t="s">
        <v>69</v>
      </c>
      <c r="F133" s="59">
        <v>18000</v>
      </c>
      <c r="G133" s="89"/>
    </row>
    <row r="134" spans="3:9" ht="16.5" x14ac:dyDescent="0.25">
      <c r="C134" s="22"/>
      <c r="D134" s="22"/>
      <c r="E134" s="22"/>
      <c r="F134" s="43" t="s">
        <v>36</v>
      </c>
      <c r="G134" s="43">
        <f>SUM(G70:G133)</f>
        <v>2656000</v>
      </c>
    </row>
    <row r="136" spans="3:9" ht="15.75" thickBot="1" x14ac:dyDescent="0.3"/>
    <row r="137" spans="3:9" ht="24.95" customHeight="1" thickBot="1" x14ac:dyDescent="0.3">
      <c r="C137" s="66" t="s">
        <v>71</v>
      </c>
      <c r="D137" s="67"/>
      <c r="E137" s="67"/>
      <c r="F137" s="67"/>
      <c r="G137" s="68"/>
    </row>
    <row r="138" spans="3:9" ht="24.95" customHeight="1" thickBot="1" x14ac:dyDescent="0.3">
      <c r="C138" s="23" t="s">
        <v>0</v>
      </c>
      <c r="D138" s="24" t="s">
        <v>1</v>
      </c>
      <c r="E138" s="24" t="s">
        <v>2</v>
      </c>
      <c r="F138" s="24" t="s">
        <v>3</v>
      </c>
      <c r="G138" s="25" t="s">
        <v>36</v>
      </c>
      <c r="I138" s="22"/>
    </row>
    <row r="139" spans="3:9" ht="24.95" customHeight="1" x14ac:dyDescent="0.25">
      <c r="C139" s="49">
        <v>46143</v>
      </c>
      <c r="D139" s="3" t="s">
        <v>72</v>
      </c>
      <c r="E139" s="3" t="s">
        <v>17</v>
      </c>
      <c r="F139" s="3">
        <v>5000</v>
      </c>
      <c r="G139" s="63">
        <v>7500</v>
      </c>
    </row>
    <row r="140" spans="3:9" ht="24.95" customHeight="1" x14ac:dyDescent="0.25">
      <c r="C140" s="11"/>
      <c r="D140" s="11" t="s">
        <v>74</v>
      </c>
      <c r="E140" s="11" t="s">
        <v>73</v>
      </c>
      <c r="F140" s="11">
        <v>2500</v>
      </c>
      <c r="G140" s="63"/>
    </row>
    <row r="141" spans="3:9" ht="24.95" customHeight="1" x14ac:dyDescent="0.25">
      <c r="C141" s="11"/>
      <c r="D141" s="11"/>
      <c r="E141" s="11"/>
      <c r="F141" s="11"/>
      <c r="G141" s="64"/>
    </row>
    <row r="142" spans="3:9" ht="24.95" customHeight="1" x14ac:dyDescent="0.25">
      <c r="C142" s="6">
        <v>46174</v>
      </c>
      <c r="D142" s="11" t="s">
        <v>75</v>
      </c>
      <c r="E142" s="11" t="s">
        <v>27</v>
      </c>
      <c r="F142" s="11">
        <v>2500</v>
      </c>
      <c r="G142" s="62">
        <v>22500</v>
      </c>
    </row>
    <row r="143" spans="3:9" ht="24.95" customHeight="1" x14ac:dyDescent="0.25">
      <c r="C143" s="11"/>
      <c r="D143" s="11" t="s">
        <v>76</v>
      </c>
      <c r="E143" s="11">
        <v>1</v>
      </c>
      <c r="F143" s="11">
        <v>20000</v>
      </c>
      <c r="G143" s="63"/>
    </row>
    <row r="144" spans="3:9" ht="24.95" customHeight="1" x14ac:dyDescent="0.25">
      <c r="C144" s="11"/>
      <c r="D144" s="11"/>
      <c r="E144" s="11"/>
      <c r="F144" s="11"/>
      <c r="G144" s="64"/>
    </row>
    <row r="145" spans="3:7" ht="24.95" customHeight="1" x14ac:dyDescent="0.25">
      <c r="C145" s="6">
        <v>46204</v>
      </c>
      <c r="D145" s="11" t="s">
        <v>77</v>
      </c>
      <c r="E145" s="11" t="s">
        <v>78</v>
      </c>
      <c r="F145" s="11">
        <v>15000</v>
      </c>
      <c r="G145" s="62">
        <v>15000</v>
      </c>
    </row>
    <row r="146" spans="3:7" ht="24.95" customHeight="1" x14ac:dyDescent="0.25">
      <c r="C146" s="11"/>
      <c r="D146" s="11"/>
      <c r="E146" s="11"/>
      <c r="F146" s="11"/>
      <c r="G146" s="64"/>
    </row>
    <row r="147" spans="3:7" ht="24.95" customHeight="1" x14ac:dyDescent="0.25">
      <c r="C147" s="6">
        <v>46235</v>
      </c>
      <c r="D147" s="11" t="s">
        <v>79</v>
      </c>
      <c r="E147" s="11">
        <v>1</v>
      </c>
      <c r="F147" s="11">
        <v>2500</v>
      </c>
      <c r="G147" s="62">
        <v>12500</v>
      </c>
    </row>
    <row r="148" spans="3:7" ht="24.95" customHeight="1" x14ac:dyDescent="0.25">
      <c r="C148" s="11"/>
      <c r="D148" s="11" t="s">
        <v>80</v>
      </c>
      <c r="E148" s="11" t="s">
        <v>81</v>
      </c>
      <c r="F148" s="11">
        <v>10000</v>
      </c>
      <c r="G148" s="63"/>
    </row>
    <row r="149" spans="3:7" ht="24.95" customHeight="1" x14ac:dyDescent="0.25">
      <c r="C149" s="11"/>
      <c r="D149" s="11"/>
      <c r="E149" s="11"/>
      <c r="F149" s="11"/>
      <c r="G149" s="64"/>
    </row>
    <row r="150" spans="3:7" ht="24.95" customHeight="1" x14ac:dyDescent="0.25">
      <c r="C150" s="6">
        <v>46266</v>
      </c>
      <c r="D150" s="11" t="s">
        <v>82</v>
      </c>
      <c r="E150" s="11">
        <v>1</v>
      </c>
      <c r="F150" s="11">
        <v>10000</v>
      </c>
      <c r="G150" s="62">
        <v>40000</v>
      </c>
    </row>
    <row r="151" spans="3:7" ht="24.95" customHeight="1" x14ac:dyDescent="0.25">
      <c r="C151" s="11"/>
      <c r="D151" s="11" t="s">
        <v>83</v>
      </c>
      <c r="E151" s="11">
        <v>4</v>
      </c>
      <c r="F151" s="11">
        <v>10000</v>
      </c>
      <c r="G151" s="63"/>
    </row>
    <row r="152" spans="3:7" ht="24.95" customHeight="1" x14ac:dyDescent="0.25">
      <c r="C152" s="11"/>
      <c r="D152" s="11" t="s">
        <v>84</v>
      </c>
      <c r="E152" s="11">
        <v>1</v>
      </c>
      <c r="F152" s="11">
        <v>20000</v>
      </c>
      <c r="G152" s="63"/>
    </row>
    <row r="153" spans="3:7" ht="24.95" customHeight="1" x14ac:dyDescent="0.25">
      <c r="C153" s="11"/>
      <c r="D153" s="11"/>
      <c r="E153" s="11"/>
      <c r="F153" s="11"/>
      <c r="G153" s="64"/>
    </row>
    <row r="154" spans="3:7" ht="24.95" customHeight="1" x14ac:dyDescent="0.25">
      <c r="C154" s="6">
        <v>46296</v>
      </c>
      <c r="D154" s="11" t="s">
        <v>85</v>
      </c>
      <c r="E154" s="11" t="s">
        <v>81</v>
      </c>
      <c r="F154" s="11">
        <v>20000</v>
      </c>
      <c r="G154" s="62">
        <v>52500</v>
      </c>
    </row>
    <row r="155" spans="3:7" ht="24.95" customHeight="1" x14ac:dyDescent="0.25">
      <c r="C155" s="11"/>
      <c r="D155" s="11" t="s">
        <v>86</v>
      </c>
      <c r="E155" s="11">
        <v>2</v>
      </c>
      <c r="F155" s="11">
        <v>30000</v>
      </c>
      <c r="G155" s="63"/>
    </row>
    <row r="156" spans="3:7" ht="24.95" customHeight="1" x14ac:dyDescent="0.25">
      <c r="C156" s="11"/>
      <c r="D156" s="11" t="s">
        <v>93</v>
      </c>
      <c r="E156" s="11">
        <v>2</v>
      </c>
      <c r="F156" s="11">
        <v>2500</v>
      </c>
      <c r="G156" s="63"/>
    </row>
    <row r="157" spans="3:7" ht="24.95" customHeight="1" x14ac:dyDescent="0.25">
      <c r="C157" s="11"/>
      <c r="D157" s="11"/>
      <c r="E157" s="11"/>
      <c r="F157" s="11"/>
      <c r="G157" s="64"/>
    </row>
    <row r="158" spans="3:7" ht="24.95" customHeight="1" x14ac:dyDescent="0.25">
      <c r="C158" s="6">
        <v>46327</v>
      </c>
      <c r="D158" s="11" t="s">
        <v>87</v>
      </c>
      <c r="E158" s="11" t="s">
        <v>17</v>
      </c>
      <c r="F158" s="11">
        <v>2500</v>
      </c>
      <c r="G158" s="62">
        <v>16500</v>
      </c>
    </row>
    <row r="159" spans="3:7" ht="24.95" customHeight="1" x14ac:dyDescent="0.25">
      <c r="C159" s="11"/>
      <c r="D159" s="11" t="s">
        <v>88</v>
      </c>
      <c r="E159" s="11" t="s">
        <v>89</v>
      </c>
      <c r="F159" s="11">
        <v>1250</v>
      </c>
      <c r="G159" s="63"/>
    </row>
    <row r="160" spans="3:7" ht="24.95" customHeight="1" x14ac:dyDescent="0.25">
      <c r="C160" s="11"/>
      <c r="D160" s="11" t="s">
        <v>90</v>
      </c>
      <c r="E160" s="11">
        <v>5</v>
      </c>
      <c r="F160" s="11">
        <v>750</v>
      </c>
      <c r="G160" s="63"/>
    </row>
    <row r="161" spans="3:7" ht="24.95" customHeight="1" x14ac:dyDescent="0.25">
      <c r="C161" s="11"/>
      <c r="D161" s="11" t="s">
        <v>91</v>
      </c>
      <c r="E161" s="11">
        <v>5</v>
      </c>
      <c r="F161" s="11">
        <v>8000</v>
      </c>
      <c r="G161" s="63"/>
    </row>
    <row r="162" spans="3:7" ht="24.95" customHeight="1" x14ac:dyDescent="0.25">
      <c r="C162" s="11"/>
      <c r="D162" s="11" t="s">
        <v>92</v>
      </c>
      <c r="E162" s="11">
        <v>5</v>
      </c>
      <c r="F162" s="11">
        <v>4000</v>
      </c>
      <c r="G162" s="63"/>
    </row>
    <row r="163" spans="3:7" ht="24.95" customHeight="1" x14ac:dyDescent="0.25">
      <c r="C163" s="11"/>
      <c r="D163" s="11"/>
      <c r="E163" s="11"/>
      <c r="F163" s="11"/>
      <c r="G163" s="64"/>
    </row>
    <row r="164" spans="3:7" ht="24.95" customHeight="1" x14ac:dyDescent="0.25">
      <c r="C164" s="6">
        <v>46357</v>
      </c>
      <c r="D164" s="11" t="s">
        <v>94</v>
      </c>
      <c r="E164" s="11" t="s">
        <v>17</v>
      </c>
      <c r="F164" s="11">
        <v>50000</v>
      </c>
      <c r="G164" s="62">
        <v>70000</v>
      </c>
    </row>
    <row r="165" spans="3:7" ht="24.95" customHeight="1" x14ac:dyDescent="0.25">
      <c r="C165" s="11"/>
      <c r="D165" s="11" t="s">
        <v>95</v>
      </c>
      <c r="E165" s="11" t="s">
        <v>96</v>
      </c>
      <c r="F165" s="11">
        <v>20000</v>
      </c>
      <c r="G165" s="63"/>
    </row>
    <row r="166" spans="3:7" ht="24.95" customHeight="1" x14ac:dyDescent="0.25">
      <c r="C166" s="11"/>
      <c r="D166" s="11"/>
      <c r="E166" s="11"/>
      <c r="F166" s="11"/>
      <c r="G166" s="64"/>
    </row>
    <row r="167" spans="3:7" ht="24.95" customHeight="1" x14ac:dyDescent="0.25">
      <c r="C167" s="6">
        <v>46388</v>
      </c>
      <c r="D167" s="11" t="s">
        <v>97</v>
      </c>
      <c r="E167" s="11">
        <v>2</v>
      </c>
      <c r="F167" s="11">
        <v>32000</v>
      </c>
      <c r="G167" s="62">
        <v>48000</v>
      </c>
    </row>
    <row r="168" spans="3:7" ht="24.95" customHeight="1" x14ac:dyDescent="0.25">
      <c r="C168" s="11"/>
      <c r="D168" s="11" t="s">
        <v>98</v>
      </c>
      <c r="E168" s="11">
        <v>2</v>
      </c>
      <c r="F168" s="11">
        <v>16000</v>
      </c>
      <c r="G168" s="63"/>
    </row>
    <row r="169" spans="3:7" ht="24.95" customHeight="1" x14ac:dyDescent="0.25">
      <c r="C169" s="11"/>
      <c r="D169" s="11"/>
      <c r="E169" s="11"/>
      <c r="F169" s="11"/>
      <c r="G169" s="64"/>
    </row>
    <row r="170" spans="3:7" ht="24.95" customHeight="1" x14ac:dyDescent="0.25">
      <c r="C170" s="6">
        <v>46419</v>
      </c>
      <c r="D170" s="11" t="s">
        <v>99</v>
      </c>
      <c r="E170" s="11" t="s">
        <v>49</v>
      </c>
      <c r="F170" s="11">
        <v>22500</v>
      </c>
      <c r="G170" s="62">
        <v>22500</v>
      </c>
    </row>
    <row r="171" spans="3:7" ht="24.95" customHeight="1" x14ac:dyDescent="0.25">
      <c r="C171" s="11"/>
      <c r="D171" s="11"/>
      <c r="E171" s="11"/>
      <c r="F171" s="11"/>
      <c r="G171" s="64"/>
    </row>
    <row r="172" spans="3:7" ht="24.95" customHeight="1" x14ac:dyDescent="0.25">
      <c r="C172" s="6">
        <v>46447</v>
      </c>
      <c r="D172" s="11" t="s">
        <v>100</v>
      </c>
      <c r="E172" s="11">
        <v>3</v>
      </c>
      <c r="F172" s="11">
        <v>15000</v>
      </c>
      <c r="G172" s="62">
        <v>22500</v>
      </c>
    </row>
    <row r="173" spans="3:7" ht="24.95" customHeight="1" x14ac:dyDescent="0.25">
      <c r="C173" s="11"/>
      <c r="D173" s="11" t="s">
        <v>101</v>
      </c>
      <c r="E173" s="11">
        <v>1</v>
      </c>
      <c r="F173" s="11">
        <v>7500</v>
      </c>
      <c r="G173" s="64"/>
    </row>
    <row r="174" spans="3:7" ht="24.95" customHeight="1" x14ac:dyDescent="0.25">
      <c r="C174" s="22"/>
      <c r="D174" s="22"/>
      <c r="E174" s="22"/>
      <c r="F174" s="21" t="s">
        <v>36</v>
      </c>
      <c r="G174" s="21">
        <f>SUM(G139:G173)</f>
        <v>329500</v>
      </c>
    </row>
    <row r="177" spans="3:7" ht="15.75" thickBot="1" x14ac:dyDescent="0.3"/>
    <row r="178" spans="3:7" ht="24.95" customHeight="1" thickBot="1" x14ac:dyDescent="0.3">
      <c r="C178" s="66" t="s">
        <v>102</v>
      </c>
      <c r="D178" s="67"/>
      <c r="E178" s="67"/>
      <c r="F178" s="67"/>
      <c r="G178" s="68"/>
    </row>
    <row r="179" spans="3:7" ht="24.95" customHeight="1" thickBot="1" x14ac:dyDescent="0.3">
      <c r="C179" s="23" t="s">
        <v>0</v>
      </c>
      <c r="D179" s="45" t="s">
        <v>1</v>
      </c>
      <c r="E179" s="24" t="s">
        <v>2</v>
      </c>
      <c r="F179" s="24" t="s">
        <v>3</v>
      </c>
      <c r="G179" s="25" t="s">
        <v>36</v>
      </c>
    </row>
    <row r="180" spans="3:7" ht="24.95" customHeight="1" x14ac:dyDescent="0.25">
      <c r="C180" s="49">
        <v>46143</v>
      </c>
      <c r="D180" s="11" t="s">
        <v>103</v>
      </c>
      <c r="E180" s="3" t="s">
        <v>49</v>
      </c>
      <c r="F180" s="3">
        <v>5000</v>
      </c>
      <c r="G180" s="65">
        <v>17500</v>
      </c>
    </row>
    <row r="181" spans="3:7" ht="24.95" customHeight="1" x14ac:dyDescent="0.25">
      <c r="C181" s="11"/>
      <c r="D181" s="11" t="s">
        <v>105</v>
      </c>
      <c r="E181" s="3" t="s">
        <v>49</v>
      </c>
      <c r="F181" s="11">
        <v>6500</v>
      </c>
      <c r="G181" s="63"/>
    </row>
    <row r="182" spans="3:7" ht="24.95" customHeight="1" x14ac:dyDescent="0.25">
      <c r="C182" s="11"/>
      <c r="D182" s="11" t="s">
        <v>104</v>
      </c>
      <c r="E182" s="3" t="s">
        <v>49</v>
      </c>
      <c r="F182" s="11">
        <v>6000</v>
      </c>
      <c r="G182" s="63"/>
    </row>
    <row r="183" spans="3:7" ht="24.95" customHeight="1" x14ac:dyDescent="0.25">
      <c r="C183" s="11"/>
      <c r="D183" s="11"/>
      <c r="E183" s="11"/>
      <c r="F183" s="11"/>
      <c r="G183" s="64"/>
    </row>
    <row r="184" spans="3:7" ht="24.95" customHeight="1" x14ac:dyDescent="0.25">
      <c r="C184" s="6">
        <v>46174</v>
      </c>
      <c r="D184" s="11" t="s">
        <v>103</v>
      </c>
      <c r="E184" s="3" t="s">
        <v>49</v>
      </c>
      <c r="F184" s="3">
        <v>5000</v>
      </c>
      <c r="G184" s="62">
        <v>57500</v>
      </c>
    </row>
    <row r="185" spans="3:7" ht="24.95" customHeight="1" x14ac:dyDescent="0.25">
      <c r="C185" s="11"/>
      <c r="D185" s="11" t="s">
        <v>105</v>
      </c>
      <c r="E185" s="3" t="s">
        <v>49</v>
      </c>
      <c r="F185" s="11">
        <v>6500</v>
      </c>
      <c r="G185" s="63"/>
    </row>
    <row r="186" spans="3:7" ht="24.95" customHeight="1" x14ac:dyDescent="0.25">
      <c r="C186" s="11"/>
      <c r="D186" s="11" t="s">
        <v>104</v>
      </c>
      <c r="E186" s="3" t="s">
        <v>49</v>
      </c>
      <c r="F186" s="11">
        <v>6000</v>
      </c>
      <c r="G186" s="63"/>
    </row>
    <row r="187" spans="3:7" ht="24.95" customHeight="1" x14ac:dyDescent="0.25">
      <c r="C187" s="11"/>
      <c r="D187" s="11" t="s">
        <v>106</v>
      </c>
      <c r="E187" s="11" t="s">
        <v>81</v>
      </c>
      <c r="F187" s="11">
        <v>7500</v>
      </c>
      <c r="G187" s="63"/>
    </row>
    <row r="188" spans="3:7" ht="24.95" customHeight="1" x14ac:dyDescent="0.25">
      <c r="C188" s="11"/>
      <c r="D188" s="11" t="s">
        <v>110</v>
      </c>
      <c r="E188" s="3">
        <v>2</v>
      </c>
      <c r="F188" s="3">
        <v>32500</v>
      </c>
      <c r="G188" s="63"/>
    </row>
    <row r="189" spans="3:7" ht="24.95" customHeight="1" x14ac:dyDescent="0.25">
      <c r="C189" s="11"/>
      <c r="D189" s="11"/>
      <c r="E189" s="3"/>
      <c r="F189" s="3"/>
      <c r="G189" s="64"/>
    </row>
    <row r="190" spans="3:7" ht="24.95" customHeight="1" x14ac:dyDescent="0.25">
      <c r="C190" s="6">
        <v>46204</v>
      </c>
      <c r="D190" s="11" t="s">
        <v>103</v>
      </c>
      <c r="E190" s="3" t="s">
        <v>49</v>
      </c>
      <c r="F190" s="3">
        <v>5000</v>
      </c>
      <c r="G190" s="62">
        <v>26500</v>
      </c>
    </row>
    <row r="191" spans="3:7" ht="24.95" customHeight="1" x14ac:dyDescent="0.25">
      <c r="C191" s="11"/>
      <c r="D191" s="11" t="s">
        <v>105</v>
      </c>
      <c r="E191" s="3" t="s">
        <v>49</v>
      </c>
      <c r="F191" s="11">
        <v>6500</v>
      </c>
      <c r="G191" s="63"/>
    </row>
    <row r="192" spans="3:7" ht="24.95" customHeight="1" x14ac:dyDescent="0.25">
      <c r="C192" s="11"/>
      <c r="D192" s="11" t="s">
        <v>104</v>
      </c>
      <c r="E192" s="3" t="s">
        <v>49</v>
      </c>
      <c r="F192" s="11">
        <v>6000</v>
      </c>
      <c r="G192" s="63"/>
    </row>
    <row r="193" spans="3:11" ht="24.95" customHeight="1" x14ac:dyDescent="0.25">
      <c r="C193" s="11"/>
      <c r="D193" s="11" t="s">
        <v>107</v>
      </c>
      <c r="E193" s="11">
        <v>2</v>
      </c>
      <c r="F193" s="11">
        <v>9000</v>
      </c>
      <c r="G193" s="63"/>
    </row>
    <row r="194" spans="3:11" ht="24.95" customHeight="1" x14ac:dyDescent="0.25">
      <c r="C194" s="11"/>
      <c r="D194" s="11"/>
      <c r="E194" s="3"/>
      <c r="F194" s="3"/>
      <c r="G194" s="64"/>
      <c r="K194" t="s">
        <v>134</v>
      </c>
    </row>
    <row r="195" spans="3:11" ht="24.95" customHeight="1" x14ac:dyDescent="0.25">
      <c r="C195" s="6">
        <v>46235</v>
      </c>
      <c r="D195" s="11" t="s">
        <v>103</v>
      </c>
      <c r="E195" s="3" t="s">
        <v>49</v>
      </c>
      <c r="F195" s="3">
        <v>5000</v>
      </c>
      <c r="G195" s="62">
        <v>38500</v>
      </c>
    </row>
    <row r="196" spans="3:11" ht="24.95" customHeight="1" x14ac:dyDescent="0.25">
      <c r="C196" s="11"/>
      <c r="D196" s="11" t="s">
        <v>105</v>
      </c>
      <c r="E196" s="3" t="s">
        <v>49</v>
      </c>
      <c r="F196" s="11">
        <v>6500</v>
      </c>
      <c r="G196" s="63"/>
    </row>
    <row r="197" spans="3:11" ht="24.95" customHeight="1" x14ac:dyDescent="0.25">
      <c r="C197" s="11"/>
      <c r="D197" s="11" t="s">
        <v>104</v>
      </c>
      <c r="E197" s="3" t="s">
        <v>49</v>
      </c>
      <c r="F197" s="11">
        <v>6000</v>
      </c>
      <c r="G197" s="63"/>
    </row>
    <row r="198" spans="3:11" ht="24.95" customHeight="1" x14ac:dyDescent="0.25">
      <c r="C198" s="11"/>
      <c r="D198" s="11" t="s">
        <v>108</v>
      </c>
      <c r="E198" s="11" t="s">
        <v>49</v>
      </c>
      <c r="F198" s="11">
        <v>21000</v>
      </c>
      <c r="G198" s="63"/>
    </row>
    <row r="199" spans="3:11" ht="24.95" customHeight="1" x14ac:dyDescent="0.25">
      <c r="C199" s="11"/>
      <c r="D199" s="11"/>
      <c r="E199" s="3"/>
      <c r="F199" s="3"/>
      <c r="G199" s="64"/>
    </row>
    <row r="200" spans="3:11" ht="24.95" customHeight="1" x14ac:dyDescent="0.25">
      <c r="C200" s="6">
        <v>46266</v>
      </c>
      <c r="D200" s="11" t="s">
        <v>103</v>
      </c>
      <c r="E200" s="3" t="s">
        <v>49</v>
      </c>
      <c r="F200" s="3">
        <v>5000</v>
      </c>
      <c r="G200" s="62">
        <v>26500</v>
      </c>
    </row>
    <row r="201" spans="3:11" ht="24.95" customHeight="1" x14ac:dyDescent="0.25">
      <c r="C201" s="11"/>
      <c r="D201" s="11" t="s">
        <v>105</v>
      </c>
      <c r="E201" s="3" t="s">
        <v>49</v>
      </c>
      <c r="F201" s="11">
        <v>6500</v>
      </c>
      <c r="G201" s="63"/>
    </row>
    <row r="202" spans="3:11" ht="24.95" customHeight="1" x14ac:dyDescent="0.25">
      <c r="C202" s="11"/>
      <c r="D202" s="11" t="s">
        <v>104</v>
      </c>
      <c r="E202" s="3" t="s">
        <v>49</v>
      </c>
      <c r="F202" s="11">
        <v>6000</v>
      </c>
      <c r="G202" s="63"/>
    </row>
    <row r="203" spans="3:11" ht="24.95" customHeight="1" x14ac:dyDescent="0.25">
      <c r="C203" s="11"/>
      <c r="D203" s="11" t="s">
        <v>107</v>
      </c>
      <c r="E203" s="11">
        <v>3</v>
      </c>
      <c r="F203" s="11">
        <v>9000</v>
      </c>
      <c r="G203" s="63"/>
    </row>
    <row r="204" spans="3:11" ht="24.95" customHeight="1" x14ac:dyDescent="0.25">
      <c r="C204" s="11"/>
      <c r="D204" s="11"/>
      <c r="E204" s="3"/>
      <c r="F204" s="3"/>
      <c r="G204" s="64"/>
    </row>
    <row r="205" spans="3:11" ht="24.95" customHeight="1" x14ac:dyDescent="0.25">
      <c r="C205" s="6">
        <v>46296</v>
      </c>
      <c r="D205" s="11" t="s">
        <v>103</v>
      </c>
      <c r="E205" s="3" t="s">
        <v>49</v>
      </c>
      <c r="F205" s="3">
        <v>5000</v>
      </c>
      <c r="G205" s="62">
        <v>18100</v>
      </c>
    </row>
    <row r="206" spans="3:11" ht="24.95" customHeight="1" x14ac:dyDescent="0.25">
      <c r="C206" s="11"/>
      <c r="D206" s="11" t="s">
        <v>105</v>
      </c>
      <c r="E206" s="3" t="s">
        <v>49</v>
      </c>
      <c r="F206" s="11">
        <v>6500</v>
      </c>
      <c r="G206" s="63"/>
    </row>
    <row r="207" spans="3:11" ht="24.95" customHeight="1" x14ac:dyDescent="0.25">
      <c r="C207" s="11"/>
      <c r="D207" s="11" t="s">
        <v>104</v>
      </c>
      <c r="E207" s="3" t="s">
        <v>49</v>
      </c>
      <c r="F207" s="11">
        <v>6000</v>
      </c>
      <c r="G207" s="63"/>
    </row>
    <row r="208" spans="3:11" ht="24.95" customHeight="1" x14ac:dyDescent="0.25">
      <c r="C208" s="11"/>
      <c r="D208" s="11" t="s">
        <v>109</v>
      </c>
      <c r="E208" s="11" t="s">
        <v>49</v>
      </c>
      <c r="F208" s="11">
        <v>600</v>
      </c>
      <c r="G208" s="63"/>
    </row>
    <row r="209" spans="3:9" ht="24.95" customHeight="1" x14ac:dyDescent="0.25">
      <c r="C209" s="11"/>
      <c r="D209" s="11"/>
      <c r="E209" s="3"/>
      <c r="F209" s="3"/>
      <c r="G209" s="64"/>
      <c r="I209" s="22"/>
    </row>
    <row r="210" spans="3:9" ht="24.95" customHeight="1" x14ac:dyDescent="0.25">
      <c r="C210" s="6">
        <v>46327</v>
      </c>
      <c r="D210" s="11" t="s">
        <v>103</v>
      </c>
      <c r="E210" s="3" t="s">
        <v>49</v>
      </c>
      <c r="F210" s="3">
        <v>5000</v>
      </c>
      <c r="G210" s="62">
        <v>17500</v>
      </c>
    </row>
    <row r="211" spans="3:9" ht="24.95" customHeight="1" x14ac:dyDescent="0.25">
      <c r="C211" s="11"/>
      <c r="D211" s="11" t="s">
        <v>105</v>
      </c>
      <c r="E211" s="3" t="s">
        <v>49</v>
      </c>
      <c r="F211" s="11">
        <v>6500</v>
      </c>
      <c r="G211" s="63"/>
    </row>
    <row r="212" spans="3:9" ht="24.95" customHeight="1" x14ac:dyDescent="0.25">
      <c r="C212" s="11"/>
      <c r="D212" s="11" t="s">
        <v>104</v>
      </c>
      <c r="E212" s="3" t="s">
        <v>49</v>
      </c>
      <c r="F212" s="11">
        <v>6000</v>
      </c>
      <c r="G212" s="63"/>
    </row>
    <row r="213" spans="3:9" ht="24.95" customHeight="1" x14ac:dyDescent="0.25">
      <c r="C213" s="11"/>
      <c r="D213" s="11"/>
      <c r="E213" s="11"/>
      <c r="F213" s="11"/>
      <c r="G213" s="64"/>
    </row>
    <row r="214" spans="3:9" ht="24.95" customHeight="1" x14ac:dyDescent="0.25">
      <c r="C214" s="6">
        <v>46357</v>
      </c>
      <c r="D214" s="11" t="s">
        <v>103</v>
      </c>
      <c r="E214" s="3" t="s">
        <v>49</v>
      </c>
      <c r="F214" s="3">
        <v>5000</v>
      </c>
      <c r="G214" s="62">
        <v>17500</v>
      </c>
    </row>
    <row r="215" spans="3:9" ht="24.95" customHeight="1" x14ac:dyDescent="0.25">
      <c r="C215" s="11"/>
      <c r="D215" s="11" t="s">
        <v>105</v>
      </c>
      <c r="E215" s="3" t="s">
        <v>49</v>
      </c>
      <c r="F215" s="11">
        <v>6500</v>
      </c>
      <c r="G215" s="63"/>
    </row>
    <row r="216" spans="3:9" ht="24.95" customHeight="1" x14ac:dyDescent="0.25">
      <c r="C216" s="11"/>
      <c r="D216" s="11" t="s">
        <v>104</v>
      </c>
      <c r="E216" s="3" t="s">
        <v>49</v>
      </c>
      <c r="F216" s="11">
        <v>6000</v>
      </c>
      <c r="G216" s="63"/>
    </row>
    <row r="217" spans="3:9" ht="24.95" customHeight="1" x14ac:dyDescent="0.25">
      <c r="C217" s="11"/>
      <c r="D217" s="11"/>
      <c r="E217" s="11"/>
      <c r="F217" s="11"/>
      <c r="G217" s="64"/>
    </row>
    <row r="218" spans="3:9" ht="24.95" customHeight="1" x14ac:dyDescent="0.25">
      <c r="C218" s="6">
        <v>46388</v>
      </c>
      <c r="D218" s="11" t="s">
        <v>103</v>
      </c>
      <c r="E218" s="3" t="s">
        <v>49</v>
      </c>
      <c r="F218" s="3">
        <v>5000</v>
      </c>
      <c r="G218" s="62">
        <v>17500</v>
      </c>
    </row>
    <row r="219" spans="3:9" ht="24.95" customHeight="1" x14ac:dyDescent="0.25">
      <c r="C219" s="11"/>
      <c r="D219" s="11" t="s">
        <v>105</v>
      </c>
      <c r="E219" s="3" t="s">
        <v>49</v>
      </c>
      <c r="F219" s="11">
        <v>6500</v>
      </c>
      <c r="G219" s="63"/>
    </row>
    <row r="220" spans="3:9" ht="24.95" customHeight="1" x14ac:dyDescent="0.25">
      <c r="C220" s="11"/>
      <c r="D220" s="11" t="s">
        <v>104</v>
      </c>
      <c r="E220" s="3" t="s">
        <v>49</v>
      </c>
      <c r="F220" s="11">
        <v>6000</v>
      </c>
      <c r="G220" s="63"/>
    </row>
    <row r="221" spans="3:9" ht="24.95" customHeight="1" x14ac:dyDescent="0.25">
      <c r="C221" s="11"/>
      <c r="D221" s="11"/>
      <c r="E221" s="11"/>
      <c r="F221" s="11"/>
      <c r="G221" s="64"/>
    </row>
    <row r="222" spans="3:9" ht="24.95" customHeight="1" x14ac:dyDescent="0.25">
      <c r="C222" s="6">
        <v>46419</v>
      </c>
      <c r="D222" s="11" t="s">
        <v>103</v>
      </c>
      <c r="E222" s="3" t="s">
        <v>49</v>
      </c>
      <c r="F222" s="3">
        <v>5000</v>
      </c>
      <c r="G222" s="62">
        <v>26500</v>
      </c>
    </row>
    <row r="223" spans="3:9" ht="24.95" customHeight="1" x14ac:dyDescent="0.25">
      <c r="C223" s="11"/>
      <c r="D223" s="11" t="s">
        <v>105</v>
      </c>
      <c r="E223" s="3" t="s">
        <v>49</v>
      </c>
      <c r="F223" s="11">
        <v>6500</v>
      </c>
      <c r="G223" s="63"/>
    </row>
    <row r="224" spans="3:9" ht="24.95" customHeight="1" x14ac:dyDescent="0.25">
      <c r="C224" s="11"/>
      <c r="D224" s="11" t="s">
        <v>104</v>
      </c>
      <c r="E224" s="3" t="s">
        <v>49</v>
      </c>
      <c r="F224" s="11">
        <v>6000</v>
      </c>
      <c r="G224" s="63"/>
    </row>
    <row r="225" spans="3:7" ht="24.95" customHeight="1" x14ac:dyDescent="0.25">
      <c r="C225" s="11"/>
      <c r="D225" s="11" t="s">
        <v>107</v>
      </c>
      <c r="E225" s="11">
        <v>1</v>
      </c>
      <c r="F225" s="11">
        <v>9000</v>
      </c>
      <c r="G225" s="63"/>
    </row>
    <row r="226" spans="3:7" ht="24.95" customHeight="1" thickBot="1" x14ac:dyDescent="0.3">
      <c r="C226" s="11"/>
      <c r="D226" s="11"/>
      <c r="E226" s="3"/>
      <c r="F226" s="3"/>
      <c r="G226" s="64"/>
    </row>
    <row r="227" spans="3:7" ht="24.95" customHeight="1" x14ac:dyDescent="0.25">
      <c r="C227" s="6">
        <v>46447</v>
      </c>
      <c r="D227" s="11" t="s">
        <v>103</v>
      </c>
      <c r="E227" s="3" t="s">
        <v>49</v>
      </c>
      <c r="F227" s="3">
        <v>5000</v>
      </c>
      <c r="G227" s="65">
        <v>17500</v>
      </c>
    </row>
    <row r="228" spans="3:7" ht="24.95" customHeight="1" x14ac:dyDescent="0.25">
      <c r="C228" s="11"/>
      <c r="D228" s="11" t="s">
        <v>105</v>
      </c>
      <c r="E228" s="3" t="s">
        <v>49</v>
      </c>
      <c r="F228" s="11">
        <v>6500</v>
      </c>
      <c r="G228" s="63"/>
    </row>
    <row r="229" spans="3:7" ht="24.95" customHeight="1" x14ac:dyDescent="0.25">
      <c r="C229" s="11"/>
      <c r="D229" s="11" t="s">
        <v>104</v>
      </c>
      <c r="E229" s="3" t="s">
        <v>49</v>
      </c>
      <c r="F229" s="11">
        <v>6000</v>
      </c>
      <c r="G229" s="63"/>
    </row>
    <row r="230" spans="3:7" ht="24.95" customHeight="1" x14ac:dyDescent="0.25">
      <c r="C230" s="11"/>
      <c r="D230" s="11"/>
      <c r="E230" s="11"/>
      <c r="F230" s="11"/>
      <c r="G230" s="64"/>
    </row>
    <row r="231" spans="3:7" ht="24.95" customHeight="1" x14ac:dyDescent="0.25">
      <c r="C231" s="22"/>
      <c r="D231" s="22"/>
      <c r="E231" s="22"/>
      <c r="F231" s="21" t="s">
        <v>36</v>
      </c>
      <c r="G231" s="21">
        <f>SUM(G180:G230)</f>
        <v>281100</v>
      </c>
    </row>
  </sheetData>
  <mergeCells count="48">
    <mergeCell ref="G124:G129"/>
    <mergeCell ref="G167:G169"/>
    <mergeCell ref="G170:G171"/>
    <mergeCell ref="G172:G173"/>
    <mergeCell ref="G154:G157"/>
    <mergeCell ref="G145:G146"/>
    <mergeCell ref="G158:G163"/>
    <mergeCell ref="G164:G166"/>
    <mergeCell ref="G139:G141"/>
    <mergeCell ref="G147:G149"/>
    <mergeCell ref="G142:G144"/>
    <mergeCell ref="G150:G153"/>
    <mergeCell ref="G130:G133"/>
    <mergeCell ref="G120:G123"/>
    <mergeCell ref="G85:G92"/>
    <mergeCell ref="G93:G98"/>
    <mergeCell ref="G99:G103"/>
    <mergeCell ref="G70:G75"/>
    <mergeCell ref="G76:G84"/>
    <mergeCell ref="G4:G7"/>
    <mergeCell ref="G8:G13"/>
    <mergeCell ref="G14:G18"/>
    <mergeCell ref="G19:G24"/>
    <mergeCell ref="C2:G2"/>
    <mergeCell ref="C178:G178"/>
    <mergeCell ref="G180:G183"/>
    <mergeCell ref="G190:G194"/>
    <mergeCell ref="G184:G189"/>
    <mergeCell ref="G25:G30"/>
    <mergeCell ref="G31:G36"/>
    <mergeCell ref="G37:G42"/>
    <mergeCell ref="G43:G47"/>
    <mergeCell ref="G48:G52"/>
    <mergeCell ref="G53:G58"/>
    <mergeCell ref="G59:G62"/>
    <mergeCell ref="C68:G68"/>
    <mergeCell ref="C137:G137"/>
    <mergeCell ref="G105:G109"/>
    <mergeCell ref="G110:G114"/>
    <mergeCell ref="G115:G119"/>
    <mergeCell ref="G214:G217"/>
    <mergeCell ref="G218:G221"/>
    <mergeCell ref="G222:G226"/>
    <mergeCell ref="G227:G230"/>
    <mergeCell ref="G195:G199"/>
    <mergeCell ref="G200:G204"/>
    <mergeCell ref="G205:G209"/>
    <mergeCell ref="G210:G213"/>
  </mergeCells>
  <pageMargins left="0.2" right="0.2" top="0.57999999999999996" bottom="0.39" header="0.18" footer="0.24"/>
  <pageSetup paperSize="9" scale="17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P107"/>
  <sheetViews>
    <sheetView topLeftCell="A16" zoomScale="70" zoomScaleNormal="70" workbookViewId="0">
      <selection activeCell="G19" sqref="G1:G1048576"/>
    </sheetView>
  </sheetViews>
  <sheetFormatPr defaultRowHeight="15" x14ac:dyDescent="0.25"/>
  <cols>
    <col min="1" max="1" width="2.7109375" customWidth="1"/>
    <col min="2" max="2" width="2.42578125" customWidth="1"/>
    <col min="4" max="4" width="41.140625" customWidth="1"/>
    <col min="5" max="5" width="17.7109375" customWidth="1"/>
    <col min="6" max="6" width="11.42578125" customWidth="1"/>
    <col min="7" max="7" width="11.28515625" customWidth="1"/>
    <col min="8" max="8" width="10.28515625" customWidth="1"/>
    <col min="9" max="9" width="10.7109375" customWidth="1"/>
    <col min="10" max="10" width="10.28515625" customWidth="1"/>
    <col min="11" max="11" width="10.7109375" customWidth="1"/>
    <col min="16" max="16" width="12.140625" customWidth="1"/>
  </cols>
  <sheetData>
    <row r="2" spans="3:16" ht="15.75" thickBot="1" x14ac:dyDescent="0.3"/>
    <row r="3" spans="3:16" ht="35.1" customHeight="1" x14ac:dyDescent="0.25">
      <c r="C3" s="90" t="s">
        <v>132</v>
      </c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2"/>
    </row>
    <row r="4" spans="3:16" ht="35.1" customHeight="1" x14ac:dyDescent="0.25">
      <c r="C4" s="35" t="s">
        <v>111</v>
      </c>
      <c r="D4" s="11" t="s">
        <v>112</v>
      </c>
      <c r="E4" s="11" t="s">
        <v>122</v>
      </c>
      <c r="F4" s="7">
        <v>46168</v>
      </c>
      <c r="G4" s="7">
        <v>46199</v>
      </c>
      <c r="H4" s="7">
        <v>46229</v>
      </c>
      <c r="I4" s="7">
        <v>46260</v>
      </c>
      <c r="J4" s="7">
        <v>46291</v>
      </c>
      <c r="K4" s="7">
        <v>46321</v>
      </c>
      <c r="L4" s="7">
        <v>46352</v>
      </c>
      <c r="M4" s="7">
        <v>46382</v>
      </c>
      <c r="N4" s="7">
        <v>46049</v>
      </c>
      <c r="O4" s="7">
        <v>46080</v>
      </c>
      <c r="P4" s="36">
        <v>46108</v>
      </c>
    </row>
    <row r="5" spans="3:16" ht="35.1" customHeight="1" x14ac:dyDescent="0.25">
      <c r="C5" s="35">
        <v>1</v>
      </c>
      <c r="D5" s="11" t="s">
        <v>113</v>
      </c>
      <c r="E5" s="11" t="s">
        <v>123</v>
      </c>
      <c r="F5" s="11" t="s">
        <v>133</v>
      </c>
      <c r="G5" s="11" t="s">
        <v>133</v>
      </c>
      <c r="H5" s="11" t="s">
        <v>133</v>
      </c>
      <c r="I5" s="11" t="s">
        <v>133</v>
      </c>
      <c r="J5" s="11" t="s">
        <v>133</v>
      </c>
      <c r="K5" s="11" t="s">
        <v>133</v>
      </c>
      <c r="L5" s="11" t="s">
        <v>133</v>
      </c>
      <c r="M5" s="11" t="s">
        <v>133</v>
      </c>
      <c r="N5" s="11" t="s">
        <v>133</v>
      </c>
      <c r="O5" s="11" t="s">
        <v>133</v>
      </c>
      <c r="P5" s="60" t="s">
        <v>133</v>
      </c>
    </row>
    <row r="6" spans="3:16" ht="35.1" customHeight="1" x14ac:dyDescent="0.25">
      <c r="C6" s="35">
        <v>2</v>
      </c>
      <c r="D6" s="11" t="s">
        <v>114</v>
      </c>
      <c r="E6" s="11" t="s">
        <v>124</v>
      </c>
      <c r="F6" s="11" t="s">
        <v>133</v>
      </c>
      <c r="G6" s="11" t="s">
        <v>133</v>
      </c>
      <c r="H6" s="11" t="s">
        <v>133</v>
      </c>
      <c r="I6" s="11" t="s">
        <v>133</v>
      </c>
      <c r="J6" s="11" t="s">
        <v>133</v>
      </c>
      <c r="K6" s="11" t="s">
        <v>133</v>
      </c>
      <c r="L6" s="11" t="s">
        <v>133</v>
      </c>
      <c r="M6" s="11" t="s">
        <v>133</v>
      </c>
      <c r="N6" s="11" t="s">
        <v>133</v>
      </c>
      <c r="O6" s="11" t="s">
        <v>133</v>
      </c>
      <c r="P6" s="60" t="s">
        <v>133</v>
      </c>
    </row>
    <row r="7" spans="3:16" ht="35.1" customHeight="1" x14ac:dyDescent="0.25">
      <c r="C7" s="35">
        <v>3</v>
      </c>
      <c r="D7" s="11" t="s">
        <v>115</v>
      </c>
      <c r="E7" s="11" t="s">
        <v>125</v>
      </c>
      <c r="F7" s="11" t="s">
        <v>133</v>
      </c>
      <c r="G7" s="11" t="s">
        <v>133</v>
      </c>
      <c r="H7" s="11" t="s">
        <v>133</v>
      </c>
      <c r="I7" s="11" t="s">
        <v>133</v>
      </c>
      <c r="J7" s="11" t="s">
        <v>133</v>
      </c>
      <c r="K7" s="11" t="s">
        <v>133</v>
      </c>
      <c r="L7" s="11" t="s">
        <v>133</v>
      </c>
      <c r="M7" s="11" t="s">
        <v>133</v>
      </c>
      <c r="N7" s="11" t="s">
        <v>133</v>
      </c>
      <c r="O7" s="11" t="s">
        <v>133</v>
      </c>
      <c r="P7" s="60" t="s">
        <v>133</v>
      </c>
    </row>
    <row r="8" spans="3:16" ht="35.1" customHeight="1" x14ac:dyDescent="0.25">
      <c r="C8" s="35">
        <v>4</v>
      </c>
      <c r="D8" s="11" t="s">
        <v>116</v>
      </c>
      <c r="E8" s="11" t="s">
        <v>126</v>
      </c>
      <c r="F8" s="11" t="s">
        <v>133</v>
      </c>
      <c r="G8" s="11" t="s">
        <v>133</v>
      </c>
      <c r="H8" s="11" t="s">
        <v>133</v>
      </c>
      <c r="I8" s="11" t="s">
        <v>133</v>
      </c>
      <c r="J8" s="11" t="s">
        <v>133</v>
      </c>
      <c r="K8" s="11" t="s">
        <v>133</v>
      </c>
      <c r="L8" s="11" t="s">
        <v>133</v>
      </c>
      <c r="M8" s="11" t="s">
        <v>133</v>
      </c>
      <c r="N8" s="11" t="s">
        <v>133</v>
      </c>
      <c r="O8" s="11" t="s">
        <v>133</v>
      </c>
      <c r="P8" s="60" t="s">
        <v>133</v>
      </c>
    </row>
    <row r="9" spans="3:16" ht="35.1" customHeight="1" x14ac:dyDescent="0.25">
      <c r="C9" s="35">
        <v>5</v>
      </c>
      <c r="D9" s="11" t="s">
        <v>117</v>
      </c>
      <c r="E9" s="11" t="s">
        <v>127</v>
      </c>
      <c r="F9" s="11" t="s">
        <v>197</v>
      </c>
      <c r="G9" s="11" t="s">
        <v>50</v>
      </c>
      <c r="H9" s="11" t="s">
        <v>197</v>
      </c>
      <c r="I9" s="11" t="s">
        <v>197</v>
      </c>
      <c r="J9" s="11" t="s">
        <v>50</v>
      </c>
      <c r="K9" s="11" t="s">
        <v>197</v>
      </c>
      <c r="L9" s="11" t="s">
        <v>197</v>
      </c>
      <c r="M9" s="11" t="s">
        <v>50</v>
      </c>
      <c r="N9" s="11" t="s">
        <v>197</v>
      </c>
      <c r="O9" s="11" t="s">
        <v>197</v>
      </c>
      <c r="P9" s="60" t="s">
        <v>50</v>
      </c>
    </row>
    <row r="10" spans="3:16" ht="35.1" customHeight="1" x14ac:dyDescent="0.25">
      <c r="C10" s="35">
        <v>6</v>
      </c>
      <c r="D10" s="11" t="s">
        <v>79</v>
      </c>
      <c r="E10" s="11" t="s">
        <v>128</v>
      </c>
      <c r="F10" s="11" t="s">
        <v>197</v>
      </c>
      <c r="G10" s="11" t="s">
        <v>197</v>
      </c>
      <c r="H10" s="11" t="s">
        <v>197</v>
      </c>
      <c r="I10" s="11" t="s">
        <v>197</v>
      </c>
      <c r="J10" s="11" t="s">
        <v>50</v>
      </c>
      <c r="K10" s="11" t="s">
        <v>197</v>
      </c>
      <c r="L10" s="11" t="s">
        <v>197</v>
      </c>
      <c r="M10" s="11" t="s">
        <v>197</v>
      </c>
      <c r="N10" s="11" t="s">
        <v>197</v>
      </c>
      <c r="O10" s="11" t="s">
        <v>197</v>
      </c>
      <c r="P10" s="11" t="s">
        <v>197</v>
      </c>
    </row>
    <row r="11" spans="3:16" ht="35.1" customHeight="1" x14ac:dyDescent="0.25">
      <c r="C11" s="35">
        <v>7</v>
      </c>
      <c r="D11" s="11" t="s">
        <v>23</v>
      </c>
      <c r="E11" s="11" t="s">
        <v>129</v>
      </c>
      <c r="F11" s="11" t="s">
        <v>197</v>
      </c>
      <c r="G11" s="11" t="s">
        <v>197</v>
      </c>
      <c r="H11" s="11" t="s">
        <v>15</v>
      </c>
      <c r="I11" s="11" t="s">
        <v>49</v>
      </c>
      <c r="J11" s="11">
        <v>12</v>
      </c>
      <c r="K11" s="11" t="s">
        <v>61</v>
      </c>
      <c r="L11" s="11" t="s">
        <v>69</v>
      </c>
      <c r="M11" s="11" t="s">
        <v>197</v>
      </c>
      <c r="N11" s="11" t="s">
        <v>197</v>
      </c>
      <c r="O11" s="11" t="s">
        <v>53</v>
      </c>
      <c r="P11" s="11" t="s">
        <v>197</v>
      </c>
    </row>
    <row r="12" spans="3:16" ht="35.1" customHeight="1" x14ac:dyDescent="0.25">
      <c r="C12" s="35">
        <v>8</v>
      </c>
      <c r="D12" s="11" t="s">
        <v>118</v>
      </c>
      <c r="E12" s="11" t="s">
        <v>129</v>
      </c>
      <c r="F12" s="11" t="s">
        <v>53</v>
      </c>
      <c r="G12" s="11"/>
      <c r="H12" s="11" t="s">
        <v>64</v>
      </c>
      <c r="I12" s="11" t="s">
        <v>54</v>
      </c>
      <c r="J12" s="11">
        <v>17</v>
      </c>
      <c r="K12" s="11" t="s">
        <v>197</v>
      </c>
      <c r="L12" s="11" t="s">
        <v>197</v>
      </c>
      <c r="M12" s="11" t="s">
        <v>197</v>
      </c>
      <c r="N12" s="11" t="s">
        <v>197</v>
      </c>
      <c r="O12" s="11" t="s">
        <v>49</v>
      </c>
      <c r="P12" s="60" t="s">
        <v>69</v>
      </c>
    </row>
    <row r="13" spans="3:16" ht="35.1" customHeight="1" x14ac:dyDescent="0.25">
      <c r="C13" s="35">
        <v>9</v>
      </c>
      <c r="D13" s="11" t="s">
        <v>108</v>
      </c>
      <c r="E13" s="11" t="s">
        <v>129</v>
      </c>
      <c r="F13" s="11">
        <v>17</v>
      </c>
      <c r="G13" s="11" t="s">
        <v>46</v>
      </c>
      <c r="H13" s="11" t="s">
        <v>51</v>
      </c>
      <c r="I13" s="11" t="s">
        <v>197</v>
      </c>
      <c r="J13" s="11" t="s">
        <v>197</v>
      </c>
      <c r="K13" s="11" t="s">
        <v>197</v>
      </c>
      <c r="L13" s="11" t="s">
        <v>197</v>
      </c>
      <c r="M13" s="11" t="s">
        <v>197</v>
      </c>
      <c r="N13" s="11" t="s">
        <v>197</v>
      </c>
      <c r="O13" s="11" t="s">
        <v>49</v>
      </c>
      <c r="P13" s="60" t="s">
        <v>69</v>
      </c>
    </row>
    <row r="14" spans="3:16" ht="35.1" customHeight="1" x14ac:dyDescent="0.25">
      <c r="C14" s="35">
        <v>10</v>
      </c>
      <c r="D14" s="11" t="s">
        <v>119</v>
      </c>
      <c r="E14" s="11" t="s">
        <v>129</v>
      </c>
      <c r="F14" s="11" t="s">
        <v>197</v>
      </c>
      <c r="G14" s="11" t="s">
        <v>81</v>
      </c>
      <c r="H14" s="11" t="s">
        <v>53</v>
      </c>
      <c r="I14" s="11" t="s">
        <v>64</v>
      </c>
      <c r="J14" s="11" t="s">
        <v>69</v>
      </c>
      <c r="K14" s="11" t="s">
        <v>54</v>
      </c>
      <c r="L14" s="11" t="s">
        <v>60</v>
      </c>
      <c r="M14" s="11" t="s">
        <v>197</v>
      </c>
      <c r="N14" s="11" t="s">
        <v>197</v>
      </c>
      <c r="O14" s="11" t="s">
        <v>197</v>
      </c>
      <c r="P14" s="11" t="s">
        <v>197</v>
      </c>
    </row>
    <row r="15" spans="3:16" ht="35.1" customHeight="1" x14ac:dyDescent="0.25">
      <c r="C15" s="35">
        <v>11</v>
      </c>
      <c r="D15" s="11" t="s">
        <v>40</v>
      </c>
      <c r="E15" s="11" t="s">
        <v>129</v>
      </c>
      <c r="F15" s="11" t="s">
        <v>197</v>
      </c>
      <c r="G15" s="11" t="s">
        <v>197</v>
      </c>
      <c r="H15" s="11" t="s">
        <v>135</v>
      </c>
      <c r="I15" s="11" t="s">
        <v>197</v>
      </c>
      <c r="J15" s="11" t="s">
        <v>197</v>
      </c>
      <c r="K15" s="11" t="s">
        <v>53</v>
      </c>
      <c r="L15" s="11" t="s">
        <v>136</v>
      </c>
      <c r="M15" s="11">
        <v>17</v>
      </c>
      <c r="N15" s="11" t="s">
        <v>197</v>
      </c>
      <c r="O15" s="11" t="s">
        <v>49</v>
      </c>
      <c r="P15" s="60" t="s">
        <v>69</v>
      </c>
    </row>
    <row r="16" spans="3:16" ht="35.1" customHeight="1" x14ac:dyDescent="0.25">
      <c r="C16" s="35">
        <v>12</v>
      </c>
      <c r="D16" s="11" t="s">
        <v>9</v>
      </c>
      <c r="E16" s="11" t="s">
        <v>129</v>
      </c>
      <c r="F16" s="11" t="s">
        <v>197</v>
      </c>
      <c r="G16" s="11" t="s">
        <v>197</v>
      </c>
      <c r="H16" s="11" t="s">
        <v>197</v>
      </c>
      <c r="I16" s="11" t="s">
        <v>49</v>
      </c>
      <c r="J16" s="11" t="s">
        <v>20</v>
      </c>
      <c r="K16" s="11" t="s">
        <v>24</v>
      </c>
      <c r="L16" s="11" t="s">
        <v>31</v>
      </c>
      <c r="M16" s="11" t="s">
        <v>137</v>
      </c>
      <c r="N16" s="11" t="s">
        <v>197</v>
      </c>
      <c r="O16" s="11" t="s">
        <v>197</v>
      </c>
      <c r="P16" s="11" t="s">
        <v>197</v>
      </c>
    </row>
    <row r="17" spans="3:16" ht="35.1" customHeight="1" x14ac:dyDescent="0.25">
      <c r="C17" s="35">
        <v>13</v>
      </c>
      <c r="D17" s="11" t="s">
        <v>120</v>
      </c>
      <c r="E17" s="11" t="s">
        <v>130</v>
      </c>
      <c r="F17" s="11" t="s">
        <v>197</v>
      </c>
      <c r="G17" s="11" t="s">
        <v>15</v>
      </c>
      <c r="H17" s="11" t="s">
        <v>197</v>
      </c>
      <c r="I17" s="11" t="s">
        <v>49</v>
      </c>
      <c r="J17" s="11" t="s">
        <v>197</v>
      </c>
      <c r="K17" s="11" t="s">
        <v>197</v>
      </c>
      <c r="L17" s="11" t="s">
        <v>197</v>
      </c>
      <c r="M17" s="11" t="s">
        <v>61</v>
      </c>
      <c r="N17" s="11">
        <v>12</v>
      </c>
      <c r="O17" s="11" t="s">
        <v>197</v>
      </c>
      <c r="P17" s="60">
        <v>11</v>
      </c>
    </row>
    <row r="18" spans="3:16" ht="35.1" customHeight="1" thickBot="1" x14ac:dyDescent="0.3">
      <c r="C18" s="58">
        <v>14</v>
      </c>
      <c r="D18" s="59" t="s">
        <v>121</v>
      </c>
      <c r="E18" s="59" t="s">
        <v>131</v>
      </c>
      <c r="F18" s="11" t="s">
        <v>197</v>
      </c>
      <c r="G18" s="11" t="s">
        <v>197</v>
      </c>
      <c r="H18" s="59" t="s">
        <v>56</v>
      </c>
      <c r="I18" s="59" t="s">
        <v>59</v>
      </c>
      <c r="J18" s="11" t="s">
        <v>197</v>
      </c>
      <c r="K18" s="59" t="s">
        <v>63</v>
      </c>
      <c r="L18" s="11" t="s">
        <v>197</v>
      </c>
      <c r="M18" s="11" t="s">
        <v>197</v>
      </c>
      <c r="N18" s="59" t="s">
        <v>138</v>
      </c>
      <c r="O18" s="11" t="s">
        <v>197</v>
      </c>
      <c r="P18" s="11" t="s">
        <v>197</v>
      </c>
    </row>
    <row r="20" spans="3:16" ht="15.75" thickBot="1" x14ac:dyDescent="0.3"/>
    <row r="21" spans="3:16" ht="24.95" customHeight="1" thickBot="1" x14ac:dyDescent="0.3">
      <c r="C21" s="96" t="s">
        <v>163</v>
      </c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8"/>
    </row>
    <row r="22" spans="3:16" ht="24.95" customHeight="1" x14ac:dyDescent="0.25">
      <c r="C22" s="37" t="s">
        <v>111</v>
      </c>
      <c r="D22" s="38" t="s">
        <v>112</v>
      </c>
      <c r="E22" s="38" t="s">
        <v>122</v>
      </c>
      <c r="F22" s="39">
        <v>46168</v>
      </c>
      <c r="G22" s="39">
        <v>46199</v>
      </c>
      <c r="H22" s="39">
        <v>46229</v>
      </c>
      <c r="I22" s="39">
        <v>46260</v>
      </c>
      <c r="J22" s="39">
        <v>46291</v>
      </c>
      <c r="K22" s="39">
        <v>46321</v>
      </c>
      <c r="L22" s="39">
        <v>46352</v>
      </c>
      <c r="M22" s="39">
        <v>46382</v>
      </c>
      <c r="N22" s="39">
        <v>46049</v>
      </c>
      <c r="O22" s="39">
        <v>46080</v>
      </c>
      <c r="P22" s="40">
        <v>46108</v>
      </c>
    </row>
    <row r="23" spans="3:16" ht="24.95" customHeight="1" x14ac:dyDescent="0.25">
      <c r="C23" s="30">
        <v>1</v>
      </c>
      <c r="D23" s="26" t="s">
        <v>113</v>
      </c>
      <c r="E23" s="26" t="s">
        <v>123</v>
      </c>
      <c r="F23" s="26" t="s">
        <v>49</v>
      </c>
      <c r="G23" s="26" t="s">
        <v>49</v>
      </c>
      <c r="H23" s="26" t="s">
        <v>49</v>
      </c>
      <c r="I23" s="26" t="s">
        <v>49</v>
      </c>
      <c r="J23" s="26" t="s">
        <v>49</v>
      </c>
      <c r="K23" s="26" t="s">
        <v>49</v>
      </c>
      <c r="L23" s="26" t="s">
        <v>49</v>
      </c>
      <c r="M23" s="26" t="s">
        <v>49</v>
      </c>
      <c r="N23" s="26" t="s">
        <v>49</v>
      </c>
      <c r="O23" s="26" t="s">
        <v>49</v>
      </c>
      <c r="P23" s="31" t="s">
        <v>49</v>
      </c>
    </row>
    <row r="24" spans="3:16" ht="24.95" customHeight="1" x14ac:dyDescent="0.25">
      <c r="C24" s="30">
        <v>2</v>
      </c>
      <c r="D24" s="26" t="s">
        <v>114</v>
      </c>
      <c r="E24" s="26" t="s">
        <v>125</v>
      </c>
      <c r="F24" s="26" t="s">
        <v>49</v>
      </c>
      <c r="G24" s="26" t="s">
        <v>49</v>
      </c>
      <c r="H24" s="26" t="s">
        <v>49</v>
      </c>
      <c r="I24" s="26" t="s">
        <v>49</v>
      </c>
      <c r="J24" s="26" t="s">
        <v>49</v>
      </c>
      <c r="K24" s="26" t="s">
        <v>49</v>
      </c>
      <c r="L24" s="26" t="s">
        <v>49</v>
      </c>
      <c r="M24" s="26" t="s">
        <v>49</v>
      </c>
      <c r="N24" s="26" t="s">
        <v>49</v>
      </c>
      <c r="O24" s="26" t="s">
        <v>49</v>
      </c>
      <c r="P24" s="31" t="s">
        <v>49</v>
      </c>
    </row>
    <row r="25" spans="3:16" ht="24.95" customHeight="1" x14ac:dyDescent="0.25">
      <c r="C25" s="30">
        <v>3</v>
      </c>
      <c r="D25" s="26" t="s">
        <v>140</v>
      </c>
      <c r="E25" s="26" t="s">
        <v>157</v>
      </c>
      <c r="F25" s="26" t="s">
        <v>49</v>
      </c>
      <c r="G25" s="26" t="s">
        <v>49</v>
      </c>
      <c r="H25" s="26" t="s">
        <v>49</v>
      </c>
      <c r="I25" s="26" t="s">
        <v>49</v>
      </c>
      <c r="J25" s="26" t="s">
        <v>49</v>
      </c>
      <c r="K25" s="26" t="s">
        <v>49</v>
      </c>
      <c r="L25" s="26" t="s">
        <v>49</v>
      </c>
      <c r="M25" s="26" t="s">
        <v>49</v>
      </c>
      <c r="N25" s="26" t="s">
        <v>49</v>
      </c>
      <c r="O25" s="26" t="s">
        <v>49</v>
      </c>
      <c r="P25" s="31" t="s">
        <v>49</v>
      </c>
    </row>
    <row r="26" spans="3:16" ht="24.95" customHeight="1" x14ac:dyDescent="0.25">
      <c r="C26" s="30">
        <v>4</v>
      </c>
      <c r="D26" s="26" t="s">
        <v>141</v>
      </c>
      <c r="E26" s="26" t="s">
        <v>158</v>
      </c>
      <c r="F26" s="26" t="s">
        <v>49</v>
      </c>
      <c r="G26" s="26" t="s">
        <v>49</v>
      </c>
      <c r="H26" s="26" t="s">
        <v>49</v>
      </c>
      <c r="I26" s="26" t="s">
        <v>49</v>
      </c>
      <c r="J26" s="26" t="s">
        <v>49</v>
      </c>
      <c r="K26" s="26" t="s">
        <v>49</v>
      </c>
      <c r="L26" s="26" t="s">
        <v>49</v>
      </c>
      <c r="M26" s="26" t="s">
        <v>49</v>
      </c>
      <c r="N26" s="26" t="s">
        <v>49</v>
      </c>
      <c r="O26" s="26" t="s">
        <v>49</v>
      </c>
      <c r="P26" s="31" t="s">
        <v>49</v>
      </c>
    </row>
    <row r="27" spans="3:16" ht="24.95" customHeight="1" x14ac:dyDescent="0.25">
      <c r="C27" s="30">
        <v>5</v>
      </c>
      <c r="D27" s="26" t="s">
        <v>142</v>
      </c>
      <c r="E27" s="26" t="s">
        <v>162</v>
      </c>
      <c r="F27" s="26" t="s">
        <v>188</v>
      </c>
      <c r="G27" s="26">
        <v>2</v>
      </c>
      <c r="H27" s="26" t="s">
        <v>188</v>
      </c>
      <c r="I27" s="26">
        <v>2</v>
      </c>
      <c r="J27" s="26" t="s">
        <v>188</v>
      </c>
      <c r="K27" s="26">
        <v>2</v>
      </c>
      <c r="L27" s="26" t="s">
        <v>188</v>
      </c>
      <c r="M27" s="26">
        <v>2</v>
      </c>
      <c r="N27" s="26" t="s">
        <v>188</v>
      </c>
      <c r="O27" s="26">
        <v>2</v>
      </c>
      <c r="P27" s="26" t="s">
        <v>188</v>
      </c>
    </row>
    <row r="28" spans="3:16" ht="24.95" customHeight="1" x14ac:dyDescent="0.25">
      <c r="C28" s="30">
        <v>6</v>
      </c>
      <c r="D28" s="26" t="s">
        <v>143</v>
      </c>
      <c r="E28" s="26" t="s">
        <v>162</v>
      </c>
      <c r="F28" s="26" t="s">
        <v>188</v>
      </c>
      <c r="G28" s="26">
        <v>2</v>
      </c>
      <c r="H28" s="26" t="s">
        <v>188</v>
      </c>
      <c r="I28" s="26">
        <v>2</v>
      </c>
      <c r="J28" s="26" t="s">
        <v>188</v>
      </c>
      <c r="K28" s="26">
        <v>2</v>
      </c>
      <c r="L28" s="26" t="s">
        <v>188</v>
      </c>
      <c r="M28" s="26">
        <v>2</v>
      </c>
      <c r="N28" s="26" t="s">
        <v>188</v>
      </c>
      <c r="O28" s="26">
        <v>2</v>
      </c>
      <c r="P28" s="26" t="s">
        <v>188</v>
      </c>
    </row>
    <row r="29" spans="3:16" ht="24.95" customHeight="1" x14ac:dyDescent="0.25">
      <c r="C29" s="30">
        <v>7</v>
      </c>
      <c r="D29" s="26" t="s">
        <v>144</v>
      </c>
      <c r="E29" s="26" t="s">
        <v>162</v>
      </c>
      <c r="F29" s="26" t="s">
        <v>188</v>
      </c>
      <c r="G29" s="26">
        <v>2</v>
      </c>
      <c r="H29" s="26" t="s">
        <v>188</v>
      </c>
      <c r="I29" s="26">
        <v>2</v>
      </c>
      <c r="J29" s="26" t="s">
        <v>188</v>
      </c>
      <c r="K29" s="26">
        <v>2</v>
      </c>
      <c r="L29" s="26" t="s">
        <v>188</v>
      </c>
      <c r="M29" s="26">
        <v>2</v>
      </c>
      <c r="N29" s="26" t="s">
        <v>188</v>
      </c>
      <c r="O29" s="26">
        <v>2</v>
      </c>
      <c r="P29" s="26" t="s">
        <v>188</v>
      </c>
    </row>
    <row r="30" spans="3:16" ht="24.95" customHeight="1" x14ac:dyDescent="0.25">
      <c r="C30" s="30">
        <v>8</v>
      </c>
      <c r="D30" s="26" t="s">
        <v>145</v>
      </c>
      <c r="E30" s="26" t="s">
        <v>160</v>
      </c>
      <c r="F30" s="11" t="s">
        <v>197</v>
      </c>
      <c r="G30" s="26">
        <v>1</v>
      </c>
      <c r="H30" s="11" t="s">
        <v>197</v>
      </c>
      <c r="I30" s="11" t="s">
        <v>197</v>
      </c>
      <c r="J30" s="11" t="s">
        <v>197</v>
      </c>
      <c r="K30" s="11" t="s">
        <v>197</v>
      </c>
      <c r="L30" s="11" t="s">
        <v>197</v>
      </c>
      <c r="M30" s="11" t="s">
        <v>197</v>
      </c>
      <c r="N30" s="11" t="s">
        <v>197</v>
      </c>
      <c r="O30" s="11" t="s">
        <v>197</v>
      </c>
      <c r="P30" s="11" t="s">
        <v>197</v>
      </c>
    </row>
    <row r="31" spans="3:16" ht="24.95" customHeight="1" x14ac:dyDescent="0.25">
      <c r="C31" s="30">
        <v>9</v>
      </c>
      <c r="D31" s="26" t="s">
        <v>110</v>
      </c>
      <c r="E31" s="26" t="s">
        <v>160</v>
      </c>
      <c r="F31" s="11" t="s">
        <v>197</v>
      </c>
      <c r="G31" s="26">
        <v>1</v>
      </c>
      <c r="H31" s="11" t="s">
        <v>197</v>
      </c>
      <c r="I31" s="11" t="s">
        <v>197</v>
      </c>
      <c r="J31" s="26">
        <v>2</v>
      </c>
      <c r="K31" s="11" t="s">
        <v>197</v>
      </c>
      <c r="L31" s="11" t="s">
        <v>197</v>
      </c>
      <c r="M31" s="11" t="s">
        <v>197</v>
      </c>
      <c r="N31" s="11" t="s">
        <v>197</v>
      </c>
      <c r="O31" s="11" t="s">
        <v>197</v>
      </c>
      <c r="P31" s="11" t="s">
        <v>197</v>
      </c>
    </row>
    <row r="32" spans="3:16" ht="24.95" customHeight="1" x14ac:dyDescent="0.25">
      <c r="C32" s="30">
        <v>10</v>
      </c>
      <c r="D32" s="26" t="s">
        <v>146</v>
      </c>
      <c r="E32" s="26" t="s">
        <v>158</v>
      </c>
      <c r="F32" s="26" t="s">
        <v>49</v>
      </c>
      <c r="G32" s="26" t="s">
        <v>49</v>
      </c>
      <c r="H32" s="26" t="s">
        <v>49</v>
      </c>
      <c r="I32" s="26" t="s">
        <v>49</v>
      </c>
      <c r="J32" s="26" t="s">
        <v>49</v>
      </c>
      <c r="K32" s="26" t="s">
        <v>49</v>
      </c>
      <c r="L32" s="26" t="s">
        <v>49</v>
      </c>
      <c r="M32" s="26" t="s">
        <v>49</v>
      </c>
      <c r="N32" s="26" t="s">
        <v>49</v>
      </c>
      <c r="O32" s="26" t="s">
        <v>49</v>
      </c>
      <c r="P32" s="31" t="s">
        <v>49</v>
      </c>
    </row>
    <row r="33" spans="3:16" ht="24.95" customHeight="1" x14ac:dyDescent="0.25">
      <c r="C33" s="30">
        <v>11</v>
      </c>
      <c r="D33" s="26" t="s">
        <v>147</v>
      </c>
      <c r="E33" s="26" t="s">
        <v>159</v>
      </c>
      <c r="F33" s="26" t="s">
        <v>49</v>
      </c>
      <c r="G33" s="26" t="s">
        <v>49</v>
      </c>
      <c r="H33" s="26" t="s">
        <v>49</v>
      </c>
      <c r="I33" s="26" t="s">
        <v>49</v>
      </c>
      <c r="J33" s="26" t="s">
        <v>49</v>
      </c>
      <c r="K33" s="26" t="s">
        <v>49</v>
      </c>
      <c r="L33" s="26" t="s">
        <v>49</v>
      </c>
      <c r="M33" s="26" t="s">
        <v>49</v>
      </c>
      <c r="N33" s="26" t="s">
        <v>49</v>
      </c>
      <c r="O33" s="26" t="s">
        <v>49</v>
      </c>
      <c r="P33" s="31" t="s">
        <v>49</v>
      </c>
    </row>
    <row r="34" spans="3:16" ht="24.95" customHeight="1" x14ac:dyDescent="0.25">
      <c r="C34" s="30">
        <v>12</v>
      </c>
      <c r="D34" s="26" t="s">
        <v>148</v>
      </c>
      <c r="E34" s="26" t="s">
        <v>131</v>
      </c>
      <c r="F34" s="11" t="s">
        <v>197</v>
      </c>
      <c r="G34" s="11" t="s">
        <v>197</v>
      </c>
      <c r="H34" s="11" t="s">
        <v>197</v>
      </c>
      <c r="I34" s="11" t="s">
        <v>197</v>
      </c>
      <c r="J34" s="11" t="s">
        <v>197</v>
      </c>
      <c r="K34" s="11" t="s">
        <v>197</v>
      </c>
      <c r="L34" s="11" t="s">
        <v>197</v>
      </c>
      <c r="M34" s="11" t="s">
        <v>197</v>
      </c>
      <c r="N34" s="11" t="s">
        <v>197</v>
      </c>
      <c r="O34" s="11" t="s">
        <v>197</v>
      </c>
      <c r="P34" s="11" t="s">
        <v>197</v>
      </c>
    </row>
    <row r="35" spans="3:16" ht="24.95" customHeight="1" x14ac:dyDescent="0.25">
      <c r="C35" s="30">
        <v>13</v>
      </c>
      <c r="D35" s="41" t="s">
        <v>152</v>
      </c>
      <c r="E35" s="26" t="s">
        <v>131</v>
      </c>
      <c r="F35" s="26"/>
      <c r="G35" s="11" t="s">
        <v>197</v>
      </c>
      <c r="H35" s="11" t="s">
        <v>197</v>
      </c>
      <c r="I35" s="11" t="s">
        <v>197</v>
      </c>
      <c r="J35" s="11" t="s">
        <v>197</v>
      </c>
      <c r="K35" s="11" t="s">
        <v>197</v>
      </c>
      <c r="L35" s="11" t="s">
        <v>197</v>
      </c>
      <c r="M35" s="11" t="s">
        <v>197</v>
      </c>
      <c r="N35" s="11" t="s">
        <v>197</v>
      </c>
      <c r="O35" s="11" t="s">
        <v>197</v>
      </c>
      <c r="P35" s="11" t="s">
        <v>197</v>
      </c>
    </row>
    <row r="36" spans="3:16" ht="24.95" customHeight="1" x14ac:dyDescent="0.25">
      <c r="C36" s="30">
        <v>14</v>
      </c>
      <c r="D36" s="26" t="s">
        <v>149</v>
      </c>
      <c r="E36" s="26" t="s">
        <v>160</v>
      </c>
      <c r="F36" s="26"/>
      <c r="G36" s="11" t="s">
        <v>197</v>
      </c>
      <c r="H36" s="11" t="s">
        <v>197</v>
      </c>
      <c r="I36" s="11" t="s">
        <v>197</v>
      </c>
      <c r="J36" s="11" t="s">
        <v>197</v>
      </c>
      <c r="K36" s="11" t="s">
        <v>197</v>
      </c>
      <c r="L36" s="11" t="s">
        <v>197</v>
      </c>
      <c r="M36" s="11" t="s">
        <v>197</v>
      </c>
      <c r="N36" s="11" t="s">
        <v>197</v>
      </c>
      <c r="O36" s="11" t="s">
        <v>197</v>
      </c>
      <c r="P36" s="11" t="s">
        <v>197</v>
      </c>
    </row>
    <row r="37" spans="3:16" ht="24.95" customHeight="1" x14ac:dyDescent="0.25">
      <c r="C37" s="30">
        <v>15</v>
      </c>
      <c r="D37" s="26" t="s">
        <v>38</v>
      </c>
      <c r="E37" s="26" t="s">
        <v>129</v>
      </c>
      <c r="F37" s="11" t="s">
        <v>197</v>
      </c>
      <c r="G37" s="11" t="s">
        <v>197</v>
      </c>
      <c r="H37" s="11" t="s">
        <v>197</v>
      </c>
      <c r="I37" s="11" t="s">
        <v>197</v>
      </c>
      <c r="J37" s="26" t="s">
        <v>49</v>
      </c>
      <c r="K37" s="26"/>
      <c r="L37" s="11" t="s">
        <v>197</v>
      </c>
      <c r="M37" s="11" t="s">
        <v>197</v>
      </c>
      <c r="N37" s="11" t="s">
        <v>197</v>
      </c>
      <c r="O37" s="11" t="s">
        <v>197</v>
      </c>
      <c r="P37" s="11" t="s">
        <v>197</v>
      </c>
    </row>
    <row r="38" spans="3:16" ht="24.95" customHeight="1" x14ac:dyDescent="0.25">
      <c r="C38" s="30">
        <v>16</v>
      </c>
      <c r="D38" s="26" t="s">
        <v>151</v>
      </c>
      <c r="E38" s="26" t="s">
        <v>129</v>
      </c>
      <c r="F38" s="11" t="s">
        <v>197</v>
      </c>
      <c r="G38" s="11" t="s">
        <v>197</v>
      </c>
      <c r="H38" s="11" t="s">
        <v>197</v>
      </c>
      <c r="I38" s="26">
        <v>2</v>
      </c>
      <c r="J38" s="11" t="s">
        <v>197</v>
      </c>
      <c r="K38" s="26">
        <v>3</v>
      </c>
      <c r="L38" s="11" t="s">
        <v>197</v>
      </c>
      <c r="M38" s="11" t="s">
        <v>197</v>
      </c>
      <c r="N38" s="11" t="s">
        <v>197</v>
      </c>
      <c r="O38" s="26">
        <v>1</v>
      </c>
      <c r="P38" s="11" t="s">
        <v>197</v>
      </c>
    </row>
    <row r="39" spans="3:16" ht="24.95" customHeight="1" x14ac:dyDescent="0.25">
      <c r="C39" s="30">
        <v>17</v>
      </c>
      <c r="D39" s="26" t="s">
        <v>150</v>
      </c>
      <c r="E39" s="26" t="s">
        <v>129</v>
      </c>
      <c r="F39" s="11" t="s">
        <v>197</v>
      </c>
      <c r="G39" s="11" t="s">
        <v>197</v>
      </c>
      <c r="H39" s="11" t="s">
        <v>197</v>
      </c>
      <c r="I39" s="26">
        <v>2</v>
      </c>
      <c r="J39" s="11" t="s">
        <v>197</v>
      </c>
      <c r="K39" s="26">
        <v>3</v>
      </c>
      <c r="L39" s="11" t="s">
        <v>197</v>
      </c>
      <c r="M39" s="11" t="s">
        <v>197</v>
      </c>
      <c r="N39" s="11" t="s">
        <v>197</v>
      </c>
      <c r="O39" s="26">
        <v>1</v>
      </c>
      <c r="P39" s="11" t="s">
        <v>197</v>
      </c>
    </row>
    <row r="40" spans="3:16" ht="24.95" customHeight="1" x14ac:dyDescent="0.25">
      <c r="C40" s="30">
        <v>18</v>
      </c>
      <c r="D40" s="26" t="s">
        <v>153</v>
      </c>
      <c r="E40" s="26" t="s">
        <v>131</v>
      </c>
      <c r="F40" s="11" t="s">
        <v>197</v>
      </c>
      <c r="G40" s="11" t="s">
        <v>197</v>
      </c>
      <c r="H40" s="11" t="s">
        <v>197</v>
      </c>
      <c r="I40" s="11" t="s">
        <v>197</v>
      </c>
      <c r="J40" s="11" t="s">
        <v>197</v>
      </c>
      <c r="K40" s="11" t="s">
        <v>197</v>
      </c>
      <c r="L40" s="11" t="s">
        <v>197</v>
      </c>
      <c r="M40" s="11" t="s">
        <v>197</v>
      </c>
      <c r="N40" s="11" t="s">
        <v>197</v>
      </c>
      <c r="O40" s="11" t="s">
        <v>197</v>
      </c>
      <c r="P40" s="11" t="s">
        <v>197</v>
      </c>
    </row>
    <row r="41" spans="3:16" ht="24.95" customHeight="1" x14ac:dyDescent="0.25">
      <c r="C41" s="30">
        <v>19</v>
      </c>
      <c r="D41" s="41" t="s">
        <v>154</v>
      </c>
      <c r="E41" s="26" t="s">
        <v>129</v>
      </c>
      <c r="F41" s="11" t="s">
        <v>197</v>
      </c>
      <c r="G41" s="11" t="s">
        <v>197</v>
      </c>
      <c r="H41" s="11" t="s">
        <v>197</v>
      </c>
      <c r="I41" s="26" t="s">
        <v>49</v>
      </c>
      <c r="J41" s="11" t="s">
        <v>197</v>
      </c>
      <c r="K41" s="11" t="s">
        <v>197</v>
      </c>
      <c r="L41" s="11" t="s">
        <v>197</v>
      </c>
      <c r="M41" s="11" t="s">
        <v>197</v>
      </c>
      <c r="N41" s="11" t="s">
        <v>197</v>
      </c>
      <c r="O41" s="11" t="s">
        <v>197</v>
      </c>
      <c r="P41" s="11" t="s">
        <v>197</v>
      </c>
    </row>
    <row r="42" spans="3:16" ht="24.95" customHeight="1" x14ac:dyDescent="0.25">
      <c r="C42" s="30">
        <v>20</v>
      </c>
      <c r="D42" s="41" t="s">
        <v>155</v>
      </c>
      <c r="E42" s="26" t="s">
        <v>127</v>
      </c>
      <c r="F42" s="26">
        <v>2</v>
      </c>
      <c r="G42" s="26">
        <v>3</v>
      </c>
      <c r="H42" s="26">
        <v>1</v>
      </c>
      <c r="I42" s="26">
        <v>2</v>
      </c>
      <c r="J42" s="26">
        <v>3</v>
      </c>
      <c r="K42" s="26">
        <v>1</v>
      </c>
      <c r="L42" s="26">
        <v>2</v>
      </c>
      <c r="M42" s="26">
        <v>3</v>
      </c>
      <c r="N42" s="26">
        <v>1</v>
      </c>
      <c r="O42" s="26">
        <v>2</v>
      </c>
      <c r="P42" s="26">
        <v>3</v>
      </c>
    </row>
    <row r="43" spans="3:16" ht="24.95" customHeight="1" x14ac:dyDescent="0.25">
      <c r="C43" s="30">
        <v>21</v>
      </c>
      <c r="D43" s="41" t="s">
        <v>116</v>
      </c>
      <c r="E43" s="26" t="s">
        <v>161</v>
      </c>
      <c r="F43" s="26" t="s">
        <v>188</v>
      </c>
      <c r="G43" s="26">
        <v>2</v>
      </c>
      <c r="H43" s="26" t="s">
        <v>188</v>
      </c>
      <c r="I43" s="26">
        <v>2</v>
      </c>
      <c r="J43" s="26" t="s">
        <v>188</v>
      </c>
      <c r="K43" s="26">
        <v>2</v>
      </c>
      <c r="L43" s="26" t="s">
        <v>188</v>
      </c>
      <c r="M43" s="26">
        <v>2</v>
      </c>
      <c r="N43" s="26" t="s">
        <v>188</v>
      </c>
      <c r="O43" s="26">
        <v>2</v>
      </c>
      <c r="P43" s="31" t="s">
        <v>188</v>
      </c>
    </row>
    <row r="44" spans="3:16" ht="24.95" customHeight="1" thickBot="1" x14ac:dyDescent="0.3">
      <c r="C44" s="32">
        <v>22</v>
      </c>
      <c r="D44" s="42" t="s">
        <v>156</v>
      </c>
      <c r="E44" s="33" t="s">
        <v>158</v>
      </c>
      <c r="F44" s="33" t="s">
        <v>49</v>
      </c>
      <c r="G44" s="33" t="s">
        <v>49</v>
      </c>
      <c r="H44" s="33" t="s">
        <v>49</v>
      </c>
      <c r="I44" s="33" t="s">
        <v>49</v>
      </c>
      <c r="J44" s="33" t="s">
        <v>49</v>
      </c>
      <c r="K44" s="33" t="s">
        <v>49</v>
      </c>
      <c r="L44" s="33" t="s">
        <v>49</v>
      </c>
      <c r="M44" s="33" t="s">
        <v>49</v>
      </c>
      <c r="N44" s="33" t="s">
        <v>49</v>
      </c>
      <c r="O44" s="33" t="s">
        <v>49</v>
      </c>
      <c r="P44" s="34" t="s">
        <v>49</v>
      </c>
    </row>
    <row r="45" spans="3:16" ht="24.95" customHeight="1" x14ac:dyDescent="0.25"/>
    <row r="46" spans="3:16" ht="24.95" customHeight="1" x14ac:dyDescent="0.25"/>
    <row r="47" spans="3:16" ht="15.75" thickBot="1" x14ac:dyDescent="0.3"/>
    <row r="48" spans="3:16" ht="21" thickBot="1" x14ac:dyDescent="0.3">
      <c r="C48" s="96" t="s">
        <v>164</v>
      </c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8"/>
    </row>
    <row r="49" spans="3:16" ht="24.95" customHeight="1" x14ac:dyDescent="0.25">
      <c r="C49" s="37" t="s">
        <v>111</v>
      </c>
      <c r="D49" s="38" t="s">
        <v>112</v>
      </c>
      <c r="E49" s="38" t="s">
        <v>122</v>
      </c>
      <c r="F49" s="39">
        <v>46168</v>
      </c>
      <c r="G49" s="39">
        <v>46199</v>
      </c>
      <c r="H49" s="39">
        <v>46229</v>
      </c>
      <c r="I49" s="39">
        <v>46260</v>
      </c>
      <c r="J49" s="39">
        <v>46291</v>
      </c>
      <c r="K49" s="39">
        <v>46321</v>
      </c>
      <c r="L49" s="39">
        <v>46352</v>
      </c>
      <c r="M49" s="39">
        <v>46382</v>
      </c>
      <c r="N49" s="39">
        <v>46049</v>
      </c>
      <c r="O49" s="39">
        <v>46080</v>
      </c>
      <c r="P49" s="40">
        <v>46108</v>
      </c>
    </row>
    <row r="50" spans="3:16" ht="27" customHeight="1" x14ac:dyDescent="0.25">
      <c r="C50" s="30">
        <v>1</v>
      </c>
      <c r="D50" s="26" t="s">
        <v>113</v>
      </c>
      <c r="E50" s="26" t="s">
        <v>123</v>
      </c>
      <c r="F50" s="26" t="s">
        <v>189</v>
      </c>
      <c r="G50" s="26" t="s">
        <v>189</v>
      </c>
      <c r="H50" s="26" t="s">
        <v>189</v>
      </c>
      <c r="I50" s="26" t="s">
        <v>189</v>
      </c>
      <c r="J50" s="26" t="s">
        <v>189</v>
      </c>
      <c r="K50" s="26" t="s">
        <v>189</v>
      </c>
      <c r="L50" s="26" t="s">
        <v>189</v>
      </c>
      <c r="M50" s="26" t="s">
        <v>189</v>
      </c>
      <c r="N50" s="26" t="s">
        <v>189</v>
      </c>
      <c r="O50" s="26" t="s">
        <v>189</v>
      </c>
      <c r="P50" s="26" t="s">
        <v>189</v>
      </c>
    </row>
    <row r="51" spans="3:16" ht="27" customHeight="1" x14ac:dyDescent="0.25">
      <c r="C51" s="30">
        <v>2</v>
      </c>
      <c r="D51" s="26" t="s">
        <v>114</v>
      </c>
      <c r="E51" s="26" t="s">
        <v>125</v>
      </c>
      <c r="F51" s="26" t="s">
        <v>189</v>
      </c>
      <c r="G51" s="26" t="s">
        <v>189</v>
      </c>
      <c r="H51" s="26" t="s">
        <v>189</v>
      </c>
      <c r="I51" s="26" t="s">
        <v>189</v>
      </c>
      <c r="J51" s="26" t="s">
        <v>189</v>
      </c>
      <c r="K51" s="26" t="s">
        <v>189</v>
      </c>
      <c r="L51" s="26" t="s">
        <v>189</v>
      </c>
      <c r="M51" s="26" t="s">
        <v>189</v>
      </c>
      <c r="N51" s="26" t="s">
        <v>189</v>
      </c>
      <c r="O51" s="26" t="s">
        <v>189</v>
      </c>
      <c r="P51" s="26" t="s">
        <v>189</v>
      </c>
    </row>
    <row r="52" spans="3:16" ht="27" customHeight="1" x14ac:dyDescent="0.25">
      <c r="C52" s="30">
        <v>3</v>
      </c>
      <c r="D52" s="26" t="s">
        <v>165</v>
      </c>
      <c r="E52" s="26" t="s">
        <v>184</v>
      </c>
      <c r="F52" s="26" t="s">
        <v>189</v>
      </c>
      <c r="G52" s="26" t="s">
        <v>189</v>
      </c>
      <c r="H52" s="26" t="s">
        <v>189</v>
      </c>
      <c r="I52" s="26" t="s">
        <v>189</v>
      </c>
      <c r="J52" s="26" t="s">
        <v>189</v>
      </c>
      <c r="K52" s="26" t="s">
        <v>189</v>
      </c>
      <c r="L52" s="26" t="s">
        <v>189</v>
      </c>
      <c r="M52" s="26" t="s">
        <v>189</v>
      </c>
      <c r="N52" s="26" t="s">
        <v>189</v>
      </c>
      <c r="O52" s="26" t="s">
        <v>189</v>
      </c>
      <c r="P52" s="26" t="s">
        <v>189</v>
      </c>
    </row>
    <row r="53" spans="3:16" ht="27" customHeight="1" x14ac:dyDescent="0.25">
      <c r="C53" s="30">
        <v>4</v>
      </c>
      <c r="D53" s="26" t="s">
        <v>116</v>
      </c>
      <c r="E53" s="26" t="s">
        <v>123</v>
      </c>
      <c r="F53" s="26" t="s">
        <v>189</v>
      </c>
      <c r="G53" s="26" t="s">
        <v>189</v>
      </c>
      <c r="H53" s="26" t="s">
        <v>189</v>
      </c>
      <c r="I53" s="26" t="s">
        <v>189</v>
      </c>
      <c r="J53" s="26" t="s">
        <v>189</v>
      </c>
      <c r="K53" s="26" t="s">
        <v>189</v>
      </c>
      <c r="L53" s="26" t="s">
        <v>189</v>
      </c>
      <c r="M53" s="26" t="s">
        <v>189</v>
      </c>
      <c r="N53" s="26" t="s">
        <v>189</v>
      </c>
      <c r="O53" s="26" t="s">
        <v>189</v>
      </c>
      <c r="P53" s="26" t="s">
        <v>189</v>
      </c>
    </row>
    <row r="54" spans="3:16" ht="27" customHeight="1" x14ac:dyDescent="0.25">
      <c r="C54" s="30">
        <v>5</v>
      </c>
      <c r="D54" s="26" t="s">
        <v>166</v>
      </c>
      <c r="E54" s="26" t="s">
        <v>185</v>
      </c>
      <c r="F54" s="11" t="s">
        <v>197</v>
      </c>
      <c r="G54" s="26" t="s">
        <v>189</v>
      </c>
      <c r="H54" s="11" t="s">
        <v>197</v>
      </c>
      <c r="I54" s="26" t="s">
        <v>189</v>
      </c>
      <c r="J54" s="11" t="s">
        <v>197</v>
      </c>
      <c r="K54" s="26" t="s">
        <v>189</v>
      </c>
      <c r="L54" s="11" t="s">
        <v>197</v>
      </c>
      <c r="M54" s="26" t="s">
        <v>189</v>
      </c>
      <c r="N54" s="11" t="s">
        <v>197</v>
      </c>
      <c r="O54" s="26" t="s">
        <v>189</v>
      </c>
      <c r="P54" s="11" t="s">
        <v>197</v>
      </c>
    </row>
    <row r="55" spans="3:16" ht="27" customHeight="1" x14ac:dyDescent="0.25">
      <c r="C55" s="30">
        <v>6</v>
      </c>
      <c r="D55" s="26" t="s">
        <v>167</v>
      </c>
      <c r="E55" s="26" t="s">
        <v>186</v>
      </c>
      <c r="F55" s="26" t="s">
        <v>190</v>
      </c>
      <c r="G55" s="26" t="s">
        <v>191</v>
      </c>
      <c r="H55" s="26" t="s">
        <v>194</v>
      </c>
      <c r="I55" s="26" t="s">
        <v>192</v>
      </c>
      <c r="J55" s="26" t="s">
        <v>193</v>
      </c>
      <c r="K55" s="26" t="s">
        <v>13</v>
      </c>
      <c r="L55" s="26" t="s">
        <v>190</v>
      </c>
      <c r="M55" s="26" t="s">
        <v>191</v>
      </c>
      <c r="N55" s="26" t="s">
        <v>194</v>
      </c>
      <c r="O55" s="26" t="s">
        <v>192</v>
      </c>
      <c r="P55" s="26" t="s">
        <v>193</v>
      </c>
    </row>
    <row r="56" spans="3:16" ht="27" customHeight="1" x14ac:dyDescent="0.25">
      <c r="C56" s="30">
        <v>7</v>
      </c>
      <c r="D56" s="26" t="s">
        <v>168</v>
      </c>
      <c r="E56" s="26" t="s">
        <v>129</v>
      </c>
      <c r="F56" s="11" t="s">
        <v>197</v>
      </c>
      <c r="G56" s="26" t="s">
        <v>13</v>
      </c>
      <c r="H56" s="11" t="s">
        <v>197</v>
      </c>
      <c r="I56" s="11" t="s">
        <v>197</v>
      </c>
      <c r="J56" s="47" t="s">
        <v>17</v>
      </c>
      <c r="K56" s="11" t="s">
        <v>197</v>
      </c>
      <c r="L56" s="11" t="s">
        <v>197</v>
      </c>
      <c r="M56" s="26" t="s">
        <v>33</v>
      </c>
      <c r="N56" s="11" t="s">
        <v>197</v>
      </c>
      <c r="O56" s="48" t="s">
        <v>25</v>
      </c>
      <c r="P56" s="11" t="s">
        <v>197</v>
      </c>
    </row>
    <row r="57" spans="3:16" ht="27" customHeight="1" x14ac:dyDescent="0.25">
      <c r="C57" s="30">
        <v>8</v>
      </c>
      <c r="D57" s="26" t="s">
        <v>169</v>
      </c>
      <c r="E57" s="26" t="s">
        <v>129</v>
      </c>
      <c r="F57" s="26" t="s">
        <v>17</v>
      </c>
      <c r="G57" s="11" t="s">
        <v>197</v>
      </c>
      <c r="H57" s="11" t="s">
        <v>197</v>
      </c>
      <c r="I57" s="26" t="s">
        <v>13</v>
      </c>
      <c r="J57" s="11" t="s">
        <v>197</v>
      </c>
      <c r="K57" s="11" t="s">
        <v>197</v>
      </c>
      <c r="L57" s="26" t="s">
        <v>33</v>
      </c>
      <c r="M57" s="11" t="s">
        <v>197</v>
      </c>
      <c r="N57" s="11" t="s">
        <v>197</v>
      </c>
      <c r="O57" s="48" t="s">
        <v>25</v>
      </c>
      <c r="P57" s="11" t="s">
        <v>197</v>
      </c>
    </row>
    <row r="58" spans="3:16" ht="27" customHeight="1" x14ac:dyDescent="0.25">
      <c r="C58" s="30">
        <v>9</v>
      </c>
      <c r="D58" s="26" t="s">
        <v>23</v>
      </c>
      <c r="E58" s="26" t="s">
        <v>129</v>
      </c>
      <c r="F58" s="11" t="s">
        <v>197</v>
      </c>
      <c r="G58" s="26" t="s">
        <v>12</v>
      </c>
      <c r="H58" s="26" t="s">
        <v>15</v>
      </c>
      <c r="I58" s="26" t="s">
        <v>21</v>
      </c>
      <c r="J58" s="26" t="s">
        <v>20</v>
      </c>
      <c r="K58" s="26" t="s">
        <v>24</v>
      </c>
      <c r="L58" s="26" t="s">
        <v>27</v>
      </c>
      <c r="M58" s="26" t="s">
        <v>29</v>
      </c>
      <c r="N58" s="26" t="s">
        <v>32</v>
      </c>
      <c r="O58" s="26" t="s">
        <v>30</v>
      </c>
      <c r="P58" s="31" t="s">
        <v>195</v>
      </c>
    </row>
    <row r="59" spans="3:16" ht="27" customHeight="1" x14ac:dyDescent="0.25">
      <c r="C59" s="30">
        <v>10</v>
      </c>
      <c r="D59" s="26" t="s">
        <v>170</v>
      </c>
      <c r="E59" s="26" t="s">
        <v>129</v>
      </c>
      <c r="F59" s="11" t="s">
        <v>197</v>
      </c>
      <c r="G59" s="11" t="s">
        <v>197</v>
      </c>
      <c r="H59" s="26" t="s">
        <v>17</v>
      </c>
      <c r="I59" s="11" t="s">
        <v>197</v>
      </c>
      <c r="J59" s="26" t="s">
        <v>33</v>
      </c>
      <c r="K59" s="11" t="s">
        <v>197</v>
      </c>
      <c r="L59" s="11" t="s">
        <v>197</v>
      </c>
      <c r="M59" s="48" t="s">
        <v>25</v>
      </c>
      <c r="N59" s="11" t="s">
        <v>197</v>
      </c>
      <c r="O59" s="11" t="s">
        <v>197</v>
      </c>
      <c r="P59" s="26" t="s">
        <v>13</v>
      </c>
    </row>
    <row r="60" spans="3:16" ht="27" customHeight="1" x14ac:dyDescent="0.25">
      <c r="C60" s="30">
        <v>11</v>
      </c>
      <c r="D60" s="26" t="s">
        <v>171</v>
      </c>
      <c r="E60" s="26" t="s">
        <v>160</v>
      </c>
      <c r="F60" s="11" t="s">
        <v>197</v>
      </c>
      <c r="G60" s="26" t="s">
        <v>17</v>
      </c>
      <c r="H60" s="11" t="s">
        <v>197</v>
      </c>
      <c r="I60" s="11" t="s">
        <v>197</v>
      </c>
      <c r="J60" s="11" t="s">
        <v>197</v>
      </c>
      <c r="K60" s="11" t="s">
        <v>197</v>
      </c>
      <c r="L60" s="11" t="s">
        <v>197</v>
      </c>
      <c r="M60" s="11" t="s">
        <v>197</v>
      </c>
      <c r="N60" s="11" t="s">
        <v>197</v>
      </c>
      <c r="O60" s="11" t="s">
        <v>197</v>
      </c>
      <c r="P60" s="11" t="s">
        <v>197</v>
      </c>
    </row>
    <row r="61" spans="3:16" ht="27" customHeight="1" x14ac:dyDescent="0.25">
      <c r="C61" s="30">
        <v>12</v>
      </c>
      <c r="D61" s="26" t="s">
        <v>172</v>
      </c>
      <c r="E61" s="46" t="s">
        <v>187</v>
      </c>
      <c r="F61" s="11" t="s">
        <v>197</v>
      </c>
      <c r="G61" s="11" t="s">
        <v>197</v>
      </c>
      <c r="H61" s="11" t="s">
        <v>197</v>
      </c>
      <c r="I61" s="11" t="s">
        <v>197</v>
      </c>
      <c r="J61" s="11" t="s">
        <v>197</v>
      </c>
      <c r="K61" s="11" t="s">
        <v>197</v>
      </c>
      <c r="L61" s="11" t="s">
        <v>197</v>
      </c>
      <c r="M61" s="11" t="s">
        <v>197</v>
      </c>
      <c r="N61" s="11" t="s">
        <v>197</v>
      </c>
      <c r="O61" s="11" t="s">
        <v>197</v>
      </c>
      <c r="P61" s="11" t="s">
        <v>197</v>
      </c>
    </row>
    <row r="62" spans="3:16" ht="27" customHeight="1" x14ac:dyDescent="0.25">
      <c r="C62" s="30">
        <v>13</v>
      </c>
      <c r="D62" s="41" t="s">
        <v>173</v>
      </c>
      <c r="E62" s="46" t="s">
        <v>187</v>
      </c>
      <c r="F62" s="11" t="s">
        <v>197</v>
      </c>
      <c r="G62" s="11" t="s">
        <v>197</v>
      </c>
      <c r="H62" s="11" t="s">
        <v>197</v>
      </c>
      <c r="I62" s="11" t="s">
        <v>197</v>
      </c>
      <c r="J62" s="11" t="s">
        <v>197</v>
      </c>
      <c r="K62" s="11" t="s">
        <v>197</v>
      </c>
      <c r="L62" s="11" t="s">
        <v>197</v>
      </c>
      <c r="M62" s="11" t="s">
        <v>197</v>
      </c>
      <c r="N62" s="11" t="s">
        <v>197</v>
      </c>
      <c r="O62" s="11" t="s">
        <v>197</v>
      </c>
      <c r="P62" s="11" t="s">
        <v>197</v>
      </c>
    </row>
    <row r="63" spans="3:16" ht="27" customHeight="1" x14ac:dyDescent="0.25">
      <c r="C63" s="30">
        <v>14</v>
      </c>
      <c r="D63" s="26" t="s">
        <v>174</v>
      </c>
      <c r="E63" s="46" t="s">
        <v>187</v>
      </c>
      <c r="F63" s="26" t="s">
        <v>196</v>
      </c>
      <c r="G63" s="11" t="s">
        <v>197</v>
      </c>
      <c r="H63" s="11" t="s">
        <v>197</v>
      </c>
      <c r="I63" s="11" t="s">
        <v>197</v>
      </c>
      <c r="J63" s="26" t="s">
        <v>196</v>
      </c>
      <c r="K63" s="11" t="s">
        <v>197</v>
      </c>
      <c r="L63" s="11" t="s">
        <v>197</v>
      </c>
      <c r="M63" s="11" t="s">
        <v>197</v>
      </c>
      <c r="N63" s="11" t="s">
        <v>197</v>
      </c>
      <c r="O63" s="11" t="s">
        <v>197</v>
      </c>
      <c r="P63" s="11" t="s">
        <v>197</v>
      </c>
    </row>
    <row r="64" spans="3:16" ht="27" customHeight="1" x14ac:dyDescent="0.25">
      <c r="C64" s="30">
        <v>15</v>
      </c>
      <c r="D64" s="26" t="s">
        <v>175</v>
      </c>
      <c r="E64" s="46" t="s">
        <v>187</v>
      </c>
      <c r="F64" s="26" t="s">
        <v>196</v>
      </c>
      <c r="G64" s="11" t="s">
        <v>197</v>
      </c>
      <c r="H64" s="11" t="s">
        <v>197</v>
      </c>
      <c r="I64" s="11" t="s">
        <v>197</v>
      </c>
      <c r="J64" s="11" t="s">
        <v>197</v>
      </c>
      <c r="K64" s="11" t="s">
        <v>197</v>
      </c>
      <c r="L64" s="11" t="s">
        <v>197</v>
      </c>
      <c r="M64" s="26" t="s">
        <v>196</v>
      </c>
      <c r="N64" s="11" t="s">
        <v>197</v>
      </c>
      <c r="O64" s="11" t="s">
        <v>197</v>
      </c>
      <c r="P64" s="11" t="s">
        <v>197</v>
      </c>
    </row>
    <row r="65" spans="3:16" ht="27" customHeight="1" x14ac:dyDescent="0.25">
      <c r="C65" s="30">
        <v>16</v>
      </c>
      <c r="D65" s="26" t="s">
        <v>176</v>
      </c>
      <c r="E65" s="46" t="s">
        <v>187</v>
      </c>
      <c r="F65" s="26" t="s">
        <v>196</v>
      </c>
      <c r="G65" s="26"/>
      <c r="H65" s="26" t="s">
        <v>13</v>
      </c>
      <c r="I65" s="26" t="s">
        <v>17</v>
      </c>
      <c r="J65" s="11" t="s">
        <v>197</v>
      </c>
      <c r="K65" s="11" t="s">
        <v>197</v>
      </c>
      <c r="L65" s="11" t="s">
        <v>197</v>
      </c>
      <c r="M65" s="26" t="s">
        <v>196</v>
      </c>
      <c r="N65" s="26" t="s">
        <v>17</v>
      </c>
      <c r="O65" s="26" t="s">
        <v>13</v>
      </c>
      <c r="P65" s="11" t="s">
        <v>197</v>
      </c>
    </row>
    <row r="66" spans="3:16" ht="27" customHeight="1" x14ac:dyDescent="0.25">
      <c r="C66" s="30">
        <v>17</v>
      </c>
      <c r="D66" s="26" t="s">
        <v>177</v>
      </c>
      <c r="E66" s="46" t="s">
        <v>187</v>
      </c>
      <c r="F66" s="11" t="s">
        <v>197</v>
      </c>
      <c r="G66" s="11" t="s">
        <v>197</v>
      </c>
      <c r="H66" s="11" t="s">
        <v>197</v>
      </c>
      <c r="I66" s="11" t="s">
        <v>197</v>
      </c>
      <c r="J66" s="11" t="s">
        <v>197</v>
      </c>
      <c r="K66" s="11" t="s">
        <v>197</v>
      </c>
      <c r="L66" s="11" t="s">
        <v>197</v>
      </c>
      <c r="M66" s="11" t="s">
        <v>197</v>
      </c>
      <c r="N66" s="11" t="s">
        <v>197</v>
      </c>
      <c r="O66" s="11" t="s">
        <v>197</v>
      </c>
      <c r="P66" s="11" t="s">
        <v>197</v>
      </c>
    </row>
    <row r="67" spans="3:16" ht="27" customHeight="1" x14ac:dyDescent="0.25">
      <c r="C67" s="30">
        <v>18</v>
      </c>
      <c r="D67" s="26" t="s">
        <v>178</v>
      </c>
      <c r="E67" s="46" t="s">
        <v>187</v>
      </c>
      <c r="F67" s="11" t="s">
        <v>197</v>
      </c>
      <c r="G67" s="11" t="s">
        <v>197</v>
      </c>
      <c r="H67" s="11" t="s">
        <v>197</v>
      </c>
      <c r="I67" s="11" t="s">
        <v>197</v>
      </c>
      <c r="J67" s="11" t="s">
        <v>197</v>
      </c>
      <c r="K67" s="11" t="s">
        <v>197</v>
      </c>
      <c r="L67" s="11" t="s">
        <v>197</v>
      </c>
      <c r="M67" s="11" t="s">
        <v>197</v>
      </c>
      <c r="N67" s="11" t="s">
        <v>197</v>
      </c>
      <c r="O67" s="11" t="s">
        <v>197</v>
      </c>
      <c r="P67" s="11" t="s">
        <v>197</v>
      </c>
    </row>
    <row r="68" spans="3:16" ht="27" customHeight="1" x14ac:dyDescent="0.25">
      <c r="C68" s="30">
        <v>19</v>
      </c>
      <c r="D68" s="41" t="s">
        <v>179</v>
      </c>
      <c r="E68" s="46" t="s">
        <v>187</v>
      </c>
      <c r="F68" s="11" t="s">
        <v>197</v>
      </c>
      <c r="G68" s="11" t="s">
        <v>197</v>
      </c>
      <c r="H68" s="11" t="s">
        <v>197</v>
      </c>
      <c r="I68" s="11" t="s">
        <v>197</v>
      </c>
      <c r="J68" s="11" t="s">
        <v>197</v>
      </c>
      <c r="K68" s="11" t="s">
        <v>197</v>
      </c>
      <c r="L68" s="11" t="s">
        <v>197</v>
      </c>
      <c r="M68" s="11" t="s">
        <v>197</v>
      </c>
      <c r="N68" s="11" t="s">
        <v>197</v>
      </c>
      <c r="O68" s="11" t="s">
        <v>197</v>
      </c>
      <c r="P68" s="11" t="s">
        <v>197</v>
      </c>
    </row>
    <row r="69" spans="3:16" ht="27" customHeight="1" x14ac:dyDescent="0.25">
      <c r="C69" s="30">
        <v>20</v>
      </c>
      <c r="D69" s="41" t="s">
        <v>180</v>
      </c>
      <c r="E69" s="46" t="s">
        <v>187</v>
      </c>
      <c r="F69" s="11" t="s">
        <v>197</v>
      </c>
      <c r="G69" s="11" t="s">
        <v>197</v>
      </c>
      <c r="H69" s="11" t="s">
        <v>197</v>
      </c>
      <c r="I69" s="11" t="s">
        <v>197</v>
      </c>
      <c r="J69" s="11" t="s">
        <v>197</v>
      </c>
      <c r="K69" s="11" t="s">
        <v>197</v>
      </c>
      <c r="L69" s="11" t="s">
        <v>197</v>
      </c>
      <c r="M69" s="11" t="s">
        <v>197</v>
      </c>
      <c r="N69" s="11" t="s">
        <v>197</v>
      </c>
      <c r="O69" s="11" t="s">
        <v>197</v>
      </c>
      <c r="P69" s="11" t="s">
        <v>197</v>
      </c>
    </row>
    <row r="70" spans="3:16" ht="27" customHeight="1" x14ac:dyDescent="0.25">
      <c r="C70" s="30">
        <v>21</v>
      </c>
      <c r="D70" s="41" t="s">
        <v>181</v>
      </c>
      <c r="E70" s="46" t="s">
        <v>187</v>
      </c>
      <c r="F70" s="11" t="s">
        <v>197</v>
      </c>
      <c r="G70" s="11" t="s">
        <v>197</v>
      </c>
      <c r="H70" s="11" t="s">
        <v>197</v>
      </c>
      <c r="I70" s="11" t="s">
        <v>197</v>
      </c>
      <c r="J70" s="11" t="s">
        <v>197</v>
      </c>
      <c r="K70" s="11" t="s">
        <v>197</v>
      </c>
      <c r="L70" s="11" t="s">
        <v>197</v>
      </c>
      <c r="M70" s="11" t="s">
        <v>197</v>
      </c>
      <c r="N70" s="11" t="s">
        <v>197</v>
      </c>
      <c r="O70" s="11" t="s">
        <v>197</v>
      </c>
      <c r="P70" s="11" t="s">
        <v>197</v>
      </c>
    </row>
    <row r="71" spans="3:16" ht="27" customHeight="1" thickBot="1" x14ac:dyDescent="0.3">
      <c r="C71" s="32">
        <v>22</v>
      </c>
      <c r="D71" s="42" t="s">
        <v>182</v>
      </c>
      <c r="E71" s="46" t="s">
        <v>187</v>
      </c>
      <c r="F71" s="11" t="s">
        <v>197</v>
      </c>
      <c r="G71" s="11" t="s">
        <v>197</v>
      </c>
      <c r="H71" s="11" t="s">
        <v>197</v>
      </c>
      <c r="I71" s="11" t="s">
        <v>197</v>
      </c>
      <c r="J71" s="11" t="s">
        <v>197</v>
      </c>
      <c r="K71" s="11" t="s">
        <v>197</v>
      </c>
      <c r="L71" s="11" t="s">
        <v>197</v>
      </c>
      <c r="M71" s="11" t="s">
        <v>197</v>
      </c>
      <c r="N71" s="11" t="s">
        <v>197</v>
      </c>
      <c r="O71" s="11" t="s">
        <v>197</v>
      </c>
      <c r="P71" s="11" t="s">
        <v>197</v>
      </c>
    </row>
    <row r="72" spans="3:16" ht="27" customHeight="1" thickBot="1" x14ac:dyDescent="0.3">
      <c r="C72" s="32">
        <v>23</v>
      </c>
      <c r="D72" s="42" t="s">
        <v>183</v>
      </c>
      <c r="E72" s="46" t="s">
        <v>187</v>
      </c>
      <c r="F72" s="11" t="s">
        <v>197</v>
      </c>
      <c r="G72" s="11" t="s">
        <v>197</v>
      </c>
      <c r="H72" s="11" t="s">
        <v>197</v>
      </c>
      <c r="I72" s="11" t="s">
        <v>197</v>
      </c>
      <c r="J72" s="11" t="s">
        <v>197</v>
      </c>
      <c r="K72" s="11" t="s">
        <v>197</v>
      </c>
      <c r="L72" s="11" t="s">
        <v>197</v>
      </c>
      <c r="M72" s="11" t="s">
        <v>197</v>
      </c>
      <c r="N72" s="11" t="s">
        <v>197</v>
      </c>
      <c r="O72" s="11" t="s">
        <v>197</v>
      </c>
      <c r="P72" s="11" t="s">
        <v>197</v>
      </c>
    </row>
    <row r="76" spans="3:16" ht="27" customHeight="1" thickBot="1" x14ac:dyDescent="0.3">
      <c r="C76" s="93" t="s">
        <v>139</v>
      </c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5"/>
    </row>
    <row r="77" spans="3:16" ht="27" customHeight="1" x14ac:dyDescent="0.25">
      <c r="C77" s="27" t="s">
        <v>111</v>
      </c>
      <c r="D77" s="10" t="s">
        <v>112</v>
      </c>
      <c r="E77" s="10" t="s">
        <v>122</v>
      </c>
      <c r="F77" s="28">
        <v>46168</v>
      </c>
      <c r="G77" s="28">
        <v>46199</v>
      </c>
      <c r="H77" s="28">
        <v>46229</v>
      </c>
      <c r="I77" s="28">
        <v>46260</v>
      </c>
      <c r="J77" s="28">
        <v>46291</v>
      </c>
      <c r="K77" s="28">
        <v>46321</v>
      </c>
      <c r="L77" s="28">
        <v>46352</v>
      </c>
      <c r="M77" s="28">
        <v>46382</v>
      </c>
      <c r="N77" s="28">
        <v>46049</v>
      </c>
      <c r="O77" s="28">
        <v>46080</v>
      </c>
      <c r="P77" s="29">
        <v>46108</v>
      </c>
    </row>
    <row r="78" spans="3:16" ht="27" customHeight="1" x14ac:dyDescent="0.25">
      <c r="C78" s="35">
        <v>1</v>
      </c>
      <c r="D78" s="11" t="s">
        <v>198</v>
      </c>
      <c r="E78" s="11" t="s">
        <v>158</v>
      </c>
      <c r="F78" s="11" t="s">
        <v>223</v>
      </c>
      <c r="G78" s="11" t="s">
        <v>223</v>
      </c>
      <c r="H78" s="11" t="s">
        <v>223</v>
      </c>
      <c r="I78" s="11" t="s">
        <v>223</v>
      </c>
      <c r="J78" s="11" t="s">
        <v>223</v>
      </c>
      <c r="K78" s="11" t="s">
        <v>223</v>
      </c>
      <c r="L78" s="11" t="s">
        <v>223</v>
      </c>
      <c r="M78" s="11" t="s">
        <v>223</v>
      </c>
      <c r="N78" s="11" t="s">
        <v>223</v>
      </c>
      <c r="O78" s="11" t="s">
        <v>223</v>
      </c>
      <c r="P78" s="11" t="s">
        <v>223</v>
      </c>
    </row>
    <row r="79" spans="3:16" ht="27" customHeight="1" x14ac:dyDescent="0.25">
      <c r="C79" s="35">
        <v>2</v>
      </c>
      <c r="D79" s="11" t="s">
        <v>79</v>
      </c>
      <c r="E79" s="11" t="s">
        <v>129</v>
      </c>
      <c r="F79" s="11" t="s">
        <v>197</v>
      </c>
      <c r="G79" s="11" t="s">
        <v>197</v>
      </c>
      <c r="H79" s="11" t="s">
        <v>229</v>
      </c>
      <c r="I79" s="11" t="s">
        <v>197</v>
      </c>
      <c r="J79" s="11" t="s">
        <v>197</v>
      </c>
      <c r="K79" s="11" t="s">
        <v>197</v>
      </c>
      <c r="L79" s="11" t="s">
        <v>197</v>
      </c>
      <c r="M79" s="11" t="s">
        <v>197</v>
      </c>
      <c r="N79" s="11" t="s">
        <v>197</v>
      </c>
      <c r="O79" s="11" t="s">
        <v>197</v>
      </c>
      <c r="P79" s="11" t="s">
        <v>197</v>
      </c>
    </row>
    <row r="80" spans="3:16" ht="27" customHeight="1" x14ac:dyDescent="0.25">
      <c r="C80" s="35">
        <v>3</v>
      </c>
      <c r="D80" s="11" t="s">
        <v>199</v>
      </c>
      <c r="E80" s="11" t="s">
        <v>129</v>
      </c>
      <c r="F80" s="11" t="s">
        <v>197</v>
      </c>
      <c r="G80" s="11" t="s">
        <v>197</v>
      </c>
      <c r="H80" s="11" t="s">
        <v>197</v>
      </c>
      <c r="I80" s="11" t="s">
        <v>197</v>
      </c>
      <c r="J80" s="11" t="s">
        <v>197</v>
      </c>
      <c r="K80" s="11" t="s">
        <v>197</v>
      </c>
      <c r="L80" s="11" t="s">
        <v>197</v>
      </c>
      <c r="M80" s="11" t="s">
        <v>197</v>
      </c>
      <c r="N80" s="11" t="s">
        <v>197</v>
      </c>
      <c r="O80" s="11" t="s">
        <v>230</v>
      </c>
      <c r="P80" s="11" t="s">
        <v>197</v>
      </c>
    </row>
    <row r="81" spans="3:16" ht="27" customHeight="1" x14ac:dyDescent="0.25">
      <c r="C81" s="35">
        <v>4</v>
      </c>
      <c r="D81" s="11" t="s">
        <v>200</v>
      </c>
      <c r="E81" s="11" t="s">
        <v>125</v>
      </c>
      <c r="F81" s="11" t="s">
        <v>223</v>
      </c>
      <c r="G81" s="11" t="s">
        <v>223</v>
      </c>
      <c r="H81" s="11" t="s">
        <v>223</v>
      </c>
      <c r="I81" s="11" t="s">
        <v>223</v>
      </c>
      <c r="J81" s="11" t="s">
        <v>223</v>
      </c>
      <c r="K81" s="11" t="s">
        <v>223</v>
      </c>
      <c r="L81" s="11" t="s">
        <v>223</v>
      </c>
      <c r="M81" s="11" t="s">
        <v>223</v>
      </c>
      <c r="N81" s="11" t="s">
        <v>223</v>
      </c>
      <c r="O81" s="11" t="s">
        <v>223</v>
      </c>
      <c r="P81" s="11" t="s">
        <v>223</v>
      </c>
    </row>
    <row r="82" spans="3:16" ht="27" customHeight="1" x14ac:dyDescent="0.25">
      <c r="C82" s="35">
        <v>5</v>
      </c>
      <c r="D82" s="11" t="s">
        <v>201</v>
      </c>
      <c r="E82" s="11" t="s">
        <v>125</v>
      </c>
      <c r="F82" s="11" t="s">
        <v>223</v>
      </c>
      <c r="G82" s="11" t="s">
        <v>223</v>
      </c>
      <c r="H82" s="11" t="s">
        <v>223</v>
      </c>
      <c r="I82" s="11" t="s">
        <v>223</v>
      </c>
      <c r="J82" s="11" t="s">
        <v>223</v>
      </c>
      <c r="K82" s="11" t="s">
        <v>223</v>
      </c>
      <c r="L82" s="11" t="s">
        <v>223</v>
      </c>
      <c r="M82" s="11" t="s">
        <v>223</v>
      </c>
      <c r="N82" s="11" t="s">
        <v>223</v>
      </c>
      <c r="O82" s="11" t="s">
        <v>223</v>
      </c>
      <c r="P82" s="11" t="s">
        <v>223</v>
      </c>
    </row>
    <row r="83" spans="3:16" ht="27" customHeight="1" x14ac:dyDescent="0.25">
      <c r="C83" s="35">
        <v>6</v>
      </c>
      <c r="D83" s="11" t="s">
        <v>202</v>
      </c>
      <c r="E83" s="11" t="s">
        <v>218</v>
      </c>
      <c r="F83" s="11" t="s">
        <v>223</v>
      </c>
      <c r="G83" s="11" t="s">
        <v>223</v>
      </c>
      <c r="H83" s="11" t="s">
        <v>223</v>
      </c>
      <c r="I83" s="11" t="s">
        <v>223</v>
      </c>
      <c r="J83" s="11" t="s">
        <v>223</v>
      </c>
      <c r="K83" s="11" t="s">
        <v>223</v>
      </c>
      <c r="L83" s="11" t="s">
        <v>223</v>
      </c>
      <c r="M83" s="11" t="s">
        <v>223</v>
      </c>
      <c r="N83" s="11" t="s">
        <v>223</v>
      </c>
      <c r="O83" s="11" t="s">
        <v>223</v>
      </c>
      <c r="P83" s="11" t="s">
        <v>223</v>
      </c>
    </row>
    <row r="84" spans="3:16" ht="27" customHeight="1" x14ac:dyDescent="0.25">
      <c r="C84" s="35">
        <v>7</v>
      </c>
      <c r="D84" s="11" t="s">
        <v>203</v>
      </c>
      <c r="E84" s="11" t="s">
        <v>160</v>
      </c>
      <c r="F84" s="11" t="s">
        <v>197</v>
      </c>
      <c r="G84" s="11" t="s">
        <v>197</v>
      </c>
      <c r="H84" s="11" t="s">
        <v>229</v>
      </c>
      <c r="I84" s="11" t="s">
        <v>197</v>
      </c>
      <c r="J84" s="11" t="s">
        <v>197</v>
      </c>
      <c r="K84" s="11" t="s">
        <v>197</v>
      </c>
      <c r="L84" s="11" t="s">
        <v>197</v>
      </c>
      <c r="M84" s="11" t="s">
        <v>197</v>
      </c>
      <c r="N84" s="11" t="s">
        <v>197</v>
      </c>
      <c r="O84" s="11" t="s">
        <v>197</v>
      </c>
      <c r="P84" s="11" t="s">
        <v>197</v>
      </c>
    </row>
    <row r="85" spans="3:16" ht="27" customHeight="1" x14ac:dyDescent="0.25">
      <c r="C85" s="35">
        <v>8</v>
      </c>
      <c r="D85" s="11" t="s">
        <v>204</v>
      </c>
      <c r="E85" s="11" t="s">
        <v>160</v>
      </c>
      <c r="F85" s="11" t="s">
        <v>197</v>
      </c>
      <c r="G85" s="11" t="s">
        <v>197</v>
      </c>
      <c r="H85" s="11" t="s">
        <v>197</v>
      </c>
      <c r="I85" s="11" t="s">
        <v>197</v>
      </c>
      <c r="J85" s="11" t="s">
        <v>197</v>
      </c>
      <c r="K85" s="11" t="s">
        <v>197</v>
      </c>
      <c r="L85" s="11" t="s">
        <v>197</v>
      </c>
      <c r="M85" s="11" t="s">
        <v>197</v>
      </c>
      <c r="N85" s="11" t="s">
        <v>197</v>
      </c>
      <c r="O85" s="11" t="s">
        <v>197</v>
      </c>
      <c r="P85" s="11" t="s">
        <v>197</v>
      </c>
    </row>
    <row r="86" spans="3:16" ht="27" customHeight="1" x14ac:dyDescent="0.25">
      <c r="C86" s="35">
        <v>9</v>
      </c>
      <c r="D86" s="11" t="s">
        <v>205</v>
      </c>
      <c r="E86" s="11" t="s">
        <v>160</v>
      </c>
      <c r="F86" s="11" t="s">
        <v>197</v>
      </c>
      <c r="G86" s="11" t="s">
        <v>197</v>
      </c>
      <c r="H86" s="11" t="s">
        <v>197</v>
      </c>
      <c r="I86" s="11" t="s">
        <v>197</v>
      </c>
      <c r="J86" s="11" t="s">
        <v>197</v>
      </c>
      <c r="K86" s="11" t="s">
        <v>197</v>
      </c>
      <c r="L86" s="11" t="s">
        <v>197</v>
      </c>
      <c r="M86" s="11" t="s">
        <v>197</v>
      </c>
      <c r="N86" s="11" t="s">
        <v>229</v>
      </c>
      <c r="O86" s="11"/>
      <c r="P86" s="60" t="s">
        <v>230</v>
      </c>
    </row>
    <row r="87" spans="3:16" ht="27" customHeight="1" x14ac:dyDescent="0.25">
      <c r="C87" s="35">
        <v>10</v>
      </c>
      <c r="D87" s="11" t="s">
        <v>206</v>
      </c>
      <c r="E87" s="11" t="s">
        <v>219</v>
      </c>
      <c r="F87" s="11" t="s">
        <v>197</v>
      </c>
      <c r="G87" s="11" t="s">
        <v>197</v>
      </c>
      <c r="H87" s="11" t="s">
        <v>197</v>
      </c>
      <c r="I87" s="11" t="s">
        <v>197</v>
      </c>
      <c r="J87" s="11" t="s">
        <v>197</v>
      </c>
      <c r="K87" s="11" t="s">
        <v>197</v>
      </c>
      <c r="L87" s="11" t="s">
        <v>197</v>
      </c>
      <c r="M87" s="11" t="s">
        <v>197</v>
      </c>
      <c r="N87" s="11" t="s">
        <v>197</v>
      </c>
      <c r="O87" s="11" t="s">
        <v>197</v>
      </c>
      <c r="P87" s="11" t="s">
        <v>197</v>
      </c>
    </row>
    <row r="88" spans="3:16" ht="27" customHeight="1" x14ac:dyDescent="0.25">
      <c r="C88" s="35">
        <v>11</v>
      </c>
      <c r="D88" s="11" t="s">
        <v>207</v>
      </c>
      <c r="E88" s="11" t="s">
        <v>220</v>
      </c>
      <c r="F88" s="11" t="s">
        <v>197</v>
      </c>
      <c r="G88" s="11" t="s">
        <v>197</v>
      </c>
      <c r="H88" s="11" t="s">
        <v>197</v>
      </c>
      <c r="I88" s="11" t="s">
        <v>197</v>
      </c>
      <c r="J88" s="11" t="s">
        <v>197</v>
      </c>
      <c r="K88" s="11" t="s">
        <v>197</v>
      </c>
      <c r="L88" s="11" t="s">
        <v>197</v>
      </c>
      <c r="M88" s="11" t="s">
        <v>197</v>
      </c>
      <c r="N88" s="11" t="s">
        <v>197</v>
      </c>
      <c r="O88" s="11" t="s">
        <v>197</v>
      </c>
      <c r="P88" s="11" t="s">
        <v>197</v>
      </c>
    </row>
    <row r="89" spans="3:16" ht="27" customHeight="1" x14ac:dyDescent="0.25">
      <c r="C89" s="35">
        <v>12</v>
      </c>
      <c r="D89" s="11" t="s">
        <v>208</v>
      </c>
      <c r="E89" s="11" t="s">
        <v>221</v>
      </c>
      <c r="F89" s="11" t="s">
        <v>73</v>
      </c>
      <c r="G89" s="11" t="s">
        <v>73</v>
      </c>
      <c r="H89" s="11" t="s">
        <v>73</v>
      </c>
      <c r="I89" s="11" t="s">
        <v>73</v>
      </c>
      <c r="J89" s="11" t="s">
        <v>73</v>
      </c>
      <c r="K89" s="11" t="s">
        <v>73</v>
      </c>
      <c r="L89" s="11" t="s">
        <v>73</v>
      </c>
      <c r="M89" s="11" t="s">
        <v>73</v>
      </c>
      <c r="N89" s="11" t="s">
        <v>73</v>
      </c>
      <c r="O89" s="11" t="s">
        <v>73</v>
      </c>
      <c r="P89" s="11" t="s">
        <v>73</v>
      </c>
    </row>
    <row r="90" spans="3:16" ht="27" customHeight="1" x14ac:dyDescent="0.25">
      <c r="C90" s="35">
        <v>13</v>
      </c>
      <c r="D90" s="11" t="s">
        <v>209</v>
      </c>
      <c r="E90" s="11" t="s">
        <v>220</v>
      </c>
      <c r="F90" s="11" t="s">
        <v>197</v>
      </c>
      <c r="G90" s="11" t="s">
        <v>197</v>
      </c>
      <c r="H90" s="11" t="s">
        <v>197</v>
      </c>
      <c r="I90" s="11" t="s">
        <v>197</v>
      </c>
      <c r="J90" s="11" t="s">
        <v>197</v>
      </c>
      <c r="K90" s="11" t="s">
        <v>197</v>
      </c>
      <c r="L90" s="11" t="s">
        <v>197</v>
      </c>
      <c r="M90" s="11" t="s">
        <v>197</v>
      </c>
      <c r="N90" s="11" t="s">
        <v>197</v>
      </c>
      <c r="O90" s="11" t="s">
        <v>197</v>
      </c>
      <c r="P90" s="11" t="s">
        <v>197</v>
      </c>
    </row>
    <row r="91" spans="3:16" ht="27" customHeight="1" x14ac:dyDescent="0.25">
      <c r="C91" s="11">
        <v>14</v>
      </c>
      <c r="D91" s="11" t="s">
        <v>210</v>
      </c>
      <c r="E91" s="11" t="s">
        <v>224</v>
      </c>
      <c r="F91" s="11" t="s">
        <v>223</v>
      </c>
      <c r="G91" s="11" t="s">
        <v>223</v>
      </c>
      <c r="H91" s="11" t="s">
        <v>223</v>
      </c>
      <c r="I91" s="11" t="s">
        <v>223</v>
      </c>
      <c r="J91" s="11" t="s">
        <v>223</v>
      </c>
      <c r="K91" s="11" t="s">
        <v>223</v>
      </c>
      <c r="L91" s="11" t="s">
        <v>223</v>
      </c>
      <c r="M91" s="11" t="s">
        <v>223</v>
      </c>
      <c r="N91" s="11" t="s">
        <v>223</v>
      </c>
      <c r="O91" s="11" t="s">
        <v>223</v>
      </c>
      <c r="P91" s="11" t="s">
        <v>223</v>
      </c>
    </row>
    <row r="92" spans="3:16" ht="27" customHeight="1" x14ac:dyDescent="0.25">
      <c r="C92" s="11">
        <v>15</v>
      </c>
      <c r="D92" s="11" t="s">
        <v>211</v>
      </c>
      <c r="E92" s="11" t="s">
        <v>129</v>
      </c>
      <c r="F92" s="11" t="s">
        <v>197</v>
      </c>
      <c r="G92" s="11" t="s">
        <v>197</v>
      </c>
      <c r="H92" s="11" t="s">
        <v>197</v>
      </c>
      <c r="I92" s="11" t="s">
        <v>197</v>
      </c>
      <c r="J92" s="11" t="s">
        <v>73</v>
      </c>
      <c r="K92" s="11" t="s">
        <v>226</v>
      </c>
      <c r="L92" s="11" t="s">
        <v>225</v>
      </c>
      <c r="M92" s="11" t="s">
        <v>227</v>
      </c>
      <c r="N92" s="11" t="s">
        <v>228</v>
      </c>
      <c r="O92" s="11" t="s">
        <v>197</v>
      </c>
      <c r="P92" s="11" t="s">
        <v>197</v>
      </c>
    </row>
    <row r="93" spans="3:16" ht="27" customHeight="1" x14ac:dyDescent="0.25">
      <c r="C93" s="11">
        <v>16</v>
      </c>
      <c r="D93" s="11" t="s">
        <v>212</v>
      </c>
      <c r="E93" s="11" t="s">
        <v>222</v>
      </c>
      <c r="F93" s="11" t="s">
        <v>73</v>
      </c>
      <c r="G93" s="11" t="s">
        <v>73</v>
      </c>
      <c r="H93" s="11" t="s">
        <v>73</v>
      </c>
      <c r="I93" s="11" t="s">
        <v>73</v>
      </c>
      <c r="J93" s="11" t="s">
        <v>73</v>
      </c>
      <c r="K93" s="11" t="s">
        <v>73</v>
      </c>
      <c r="L93" s="11" t="s">
        <v>73</v>
      </c>
      <c r="M93" s="11" t="s">
        <v>73</v>
      </c>
      <c r="N93" s="11" t="s">
        <v>73</v>
      </c>
      <c r="O93" s="11" t="s">
        <v>73</v>
      </c>
      <c r="P93" s="11" t="s">
        <v>73</v>
      </c>
    </row>
    <row r="94" spans="3:16" ht="27" customHeight="1" x14ac:dyDescent="0.25">
      <c r="C94" s="11">
        <v>17</v>
      </c>
      <c r="D94" s="11" t="s">
        <v>213</v>
      </c>
      <c r="E94" s="11" t="s">
        <v>129</v>
      </c>
      <c r="F94" s="11" t="s">
        <v>49</v>
      </c>
      <c r="G94" s="11" t="s">
        <v>197</v>
      </c>
      <c r="H94" s="11" t="s">
        <v>197</v>
      </c>
      <c r="I94" s="11" t="s">
        <v>197</v>
      </c>
      <c r="J94" s="11" t="s">
        <v>197</v>
      </c>
      <c r="K94" s="11" t="s">
        <v>197</v>
      </c>
      <c r="L94" s="11" t="s">
        <v>197</v>
      </c>
      <c r="M94" s="11" t="s">
        <v>197</v>
      </c>
      <c r="N94" s="11" t="s">
        <v>197</v>
      </c>
      <c r="O94" s="11" t="s">
        <v>197</v>
      </c>
      <c r="P94" s="11" t="s">
        <v>197</v>
      </c>
    </row>
    <row r="95" spans="3:16" ht="27" customHeight="1" x14ac:dyDescent="0.25">
      <c r="C95" s="11">
        <v>18</v>
      </c>
      <c r="D95" s="11" t="s">
        <v>214</v>
      </c>
      <c r="E95" s="11" t="s">
        <v>129</v>
      </c>
      <c r="F95" s="11" t="s">
        <v>197</v>
      </c>
      <c r="G95" s="11" t="s">
        <v>27</v>
      </c>
      <c r="H95" s="11" t="s">
        <v>197</v>
      </c>
      <c r="I95" s="11" t="s">
        <v>197</v>
      </c>
      <c r="J95" s="11" t="s">
        <v>197</v>
      </c>
      <c r="K95" s="11" t="s">
        <v>197</v>
      </c>
      <c r="L95" s="11" t="s">
        <v>197</v>
      </c>
      <c r="M95" s="11" t="s">
        <v>197</v>
      </c>
      <c r="N95" s="11" t="s">
        <v>197</v>
      </c>
      <c r="O95" s="11" t="s">
        <v>197</v>
      </c>
      <c r="P95" s="11" t="s">
        <v>197</v>
      </c>
    </row>
    <row r="96" spans="3:16" ht="27" customHeight="1" x14ac:dyDescent="0.25">
      <c r="C96" s="11">
        <v>19</v>
      </c>
      <c r="D96" s="11" t="s">
        <v>88</v>
      </c>
      <c r="E96" s="11" t="s">
        <v>129</v>
      </c>
      <c r="F96" s="11" t="s">
        <v>49</v>
      </c>
      <c r="G96" s="11" t="s">
        <v>197</v>
      </c>
      <c r="H96" s="11" t="s">
        <v>197</v>
      </c>
      <c r="I96" s="11" t="s">
        <v>197</v>
      </c>
      <c r="J96" s="11" t="s">
        <v>197</v>
      </c>
      <c r="K96" s="11" t="s">
        <v>197</v>
      </c>
      <c r="L96" s="11" t="s">
        <v>197</v>
      </c>
      <c r="M96" s="11" t="s">
        <v>197</v>
      </c>
      <c r="N96" s="11" t="s">
        <v>197</v>
      </c>
      <c r="O96" s="11" t="s">
        <v>197</v>
      </c>
      <c r="P96" s="11" t="s">
        <v>197</v>
      </c>
    </row>
    <row r="97" spans="3:16" ht="27" customHeight="1" x14ac:dyDescent="0.25">
      <c r="C97" s="11">
        <v>20</v>
      </c>
      <c r="D97" s="11" t="s">
        <v>215</v>
      </c>
      <c r="E97" s="11" t="s">
        <v>131</v>
      </c>
      <c r="F97" s="11" t="s">
        <v>197</v>
      </c>
      <c r="G97" s="11">
        <v>2</v>
      </c>
      <c r="H97" s="11" t="s">
        <v>197</v>
      </c>
      <c r="I97" s="11" t="s">
        <v>197</v>
      </c>
      <c r="J97" s="11" t="s">
        <v>197</v>
      </c>
      <c r="K97" s="11" t="s">
        <v>197</v>
      </c>
      <c r="L97" s="11" t="s">
        <v>197</v>
      </c>
      <c r="M97" s="11" t="s">
        <v>197</v>
      </c>
      <c r="N97" s="11" t="s">
        <v>197</v>
      </c>
      <c r="O97" s="11" t="s">
        <v>197</v>
      </c>
      <c r="P97" s="11" t="s">
        <v>197</v>
      </c>
    </row>
    <row r="98" spans="3:16" ht="27" customHeight="1" x14ac:dyDescent="0.25">
      <c r="C98" s="11">
        <v>21</v>
      </c>
      <c r="D98" s="11" t="s">
        <v>216</v>
      </c>
      <c r="E98" s="11" t="s">
        <v>131</v>
      </c>
      <c r="F98" s="11" t="s">
        <v>197</v>
      </c>
      <c r="G98" s="11" t="s">
        <v>197</v>
      </c>
      <c r="H98" s="11">
        <v>2</v>
      </c>
      <c r="I98" s="11" t="s">
        <v>197</v>
      </c>
      <c r="J98" s="11" t="s">
        <v>197</v>
      </c>
      <c r="K98" s="11" t="s">
        <v>197</v>
      </c>
      <c r="L98" s="11" t="s">
        <v>197</v>
      </c>
      <c r="M98" s="11" t="s">
        <v>197</v>
      </c>
      <c r="N98" s="11" t="s">
        <v>197</v>
      </c>
      <c r="O98" s="11" t="s">
        <v>197</v>
      </c>
      <c r="P98" s="11" t="s">
        <v>197</v>
      </c>
    </row>
    <row r="99" spans="3:16" ht="27" customHeight="1" x14ac:dyDescent="0.25">
      <c r="C99" s="11">
        <v>22</v>
      </c>
      <c r="D99" s="11" t="s">
        <v>217</v>
      </c>
      <c r="E99" s="11" t="s">
        <v>131</v>
      </c>
      <c r="F99" s="11">
        <v>3</v>
      </c>
      <c r="G99" s="11" t="s">
        <v>197</v>
      </c>
      <c r="H99" s="11" t="s">
        <v>197</v>
      </c>
      <c r="I99" s="11" t="s">
        <v>197</v>
      </c>
      <c r="J99" s="11" t="s">
        <v>197</v>
      </c>
      <c r="K99" s="11" t="s">
        <v>197</v>
      </c>
      <c r="L99" s="11" t="s">
        <v>197</v>
      </c>
      <c r="M99" s="11" t="s">
        <v>197</v>
      </c>
      <c r="N99" s="11" t="s">
        <v>197</v>
      </c>
      <c r="O99" s="11" t="s">
        <v>197</v>
      </c>
      <c r="P99" s="11" t="s">
        <v>197</v>
      </c>
    </row>
    <row r="100" spans="3:16" ht="27" customHeight="1" x14ac:dyDescent="0.25"/>
    <row r="101" spans="3:16" ht="27" customHeight="1" x14ac:dyDescent="0.25"/>
    <row r="102" spans="3:16" ht="27" customHeight="1" x14ac:dyDescent="0.25"/>
    <row r="103" spans="3:16" ht="27" customHeight="1" x14ac:dyDescent="0.25"/>
    <row r="104" spans="3:16" ht="27" customHeight="1" x14ac:dyDescent="0.25"/>
    <row r="105" spans="3:16" ht="27" customHeight="1" x14ac:dyDescent="0.25"/>
    <row r="106" spans="3:16" ht="27" customHeight="1" x14ac:dyDescent="0.25"/>
    <row r="107" spans="3:16" ht="27" customHeight="1" x14ac:dyDescent="0.25"/>
  </sheetData>
  <mergeCells count="4">
    <mergeCell ref="C3:P3"/>
    <mergeCell ref="C76:P76"/>
    <mergeCell ref="C21:P21"/>
    <mergeCell ref="C48:P48"/>
  </mergeCells>
  <pageMargins left="0.24" right="0.16" top="0.36" bottom="0.75" header="0.2" footer="0.3"/>
  <pageSetup paperSize="9" scale="21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N19"/>
  <sheetViews>
    <sheetView tabSelected="1" topLeftCell="H1" workbookViewId="0">
      <selection activeCell="N17" sqref="N17"/>
    </sheetView>
  </sheetViews>
  <sheetFormatPr defaultRowHeight="15" x14ac:dyDescent="0.25"/>
  <cols>
    <col min="4" max="4" width="12.42578125" bestFit="1" customWidth="1"/>
    <col min="5" max="5" width="12.42578125" customWidth="1"/>
  </cols>
  <sheetData>
    <row r="4" spans="4:14" x14ac:dyDescent="0.25">
      <c r="D4" s="11" t="s">
        <v>235</v>
      </c>
      <c r="E4" s="11" t="s">
        <v>238</v>
      </c>
      <c r="F4" s="11" t="s">
        <v>239</v>
      </c>
      <c r="G4" s="11" t="s">
        <v>231</v>
      </c>
      <c r="H4" s="11" t="s">
        <v>237</v>
      </c>
      <c r="I4" s="11" t="s">
        <v>240</v>
      </c>
      <c r="J4" s="11" t="s">
        <v>241</v>
      </c>
      <c r="K4" s="11" t="s">
        <v>232</v>
      </c>
      <c r="L4" s="11" t="s">
        <v>233</v>
      </c>
      <c r="M4" s="11" t="s">
        <v>234</v>
      </c>
      <c r="N4" s="61" t="s">
        <v>242</v>
      </c>
    </row>
    <row r="5" spans="4:14" x14ac:dyDescent="0.25">
      <c r="D5" s="6">
        <v>46113</v>
      </c>
      <c r="E5" s="11">
        <v>10000</v>
      </c>
      <c r="F5" s="11">
        <v>207500</v>
      </c>
      <c r="G5" s="11">
        <v>45000</v>
      </c>
      <c r="H5" s="11">
        <v>66000</v>
      </c>
      <c r="I5" s="11">
        <v>471600</v>
      </c>
      <c r="J5" s="11">
        <v>212000</v>
      </c>
      <c r="K5" s="11">
        <v>117913</v>
      </c>
      <c r="L5" s="11">
        <v>874232</v>
      </c>
      <c r="M5" s="11">
        <v>1256506</v>
      </c>
      <c r="N5" s="1">
        <f>SUM(E5:M5)</f>
        <v>3260751</v>
      </c>
    </row>
    <row r="6" spans="4:14" x14ac:dyDescent="0.25">
      <c r="D6" s="6">
        <v>46143</v>
      </c>
      <c r="E6" s="11">
        <v>7500</v>
      </c>
      <c r="F6" s="11">
        <v>180000</v>
      </c>
      <c r="G6" s="11">
        <v>310000</v>
      </c>
      <c r="H6" s="11">
        <v>17500</v>
      </c>
      <c r="I6" s="11">
        <v>98900</v>
      </c>
      <c r="J6" s="11">
        <v>67000</v>
      </c>
      <c r="K6" s="11">
        <v>117913</v>
      </c>
      <c r="L6" s="11">
        <v>874232</v>
      </c>
      <c r="M6" s="11">
        <v>1256506</v>
      </c>
      <c r="N6" s="1">
        <f t="shared" ref="N6:N16" si="0">SUM(E6:M6)</f>
        <v>2929551</v>
      </c>
    </row>
    <row r="7" spans="4:14" x14ac:dyDescent="0.25">
      <c r="D7" s="6">
        <v>46174</v>
      </c>
      <c r="E7" s="11">
        <v>22500</v>
      </c>
      <c r="F7" s="11">
        <v>750000</v>
      </c>
      <c r="G7" s="11">
        <v>353000</v>
      </c>
      <c r="H7" s="11">
        <v>57500</v>
      </c>
      <c r="I7" s="11">
        <v>189000</v>
      </c>
      <c r="J7" s="11">
        <v>68500</v>
      </c>
      <c r="K7" s="11">
        <v>117913</v>
      </c>
      <c r="L7" s="11">
        <v>874232</v>
      </c>
      <c r="M7" s="11">
        <v>1256506</v>
      </c>
      <c r="N7" s="1">
        <f t="shared" si="0"/>
        <v>3689151</v>
      </c>
    </row>
    <row r="8" spans="4:14" x14ac:dyDescent="0.25">
      <c r="D8" s="6">
        <v>46204</v>
      </c>
      <c r="E8" s="11">
        <v>15000</v>
      </c>
      <c r="F8" s="11">
        <v>1055000</v>
      </c>
      <c r="G8" s="11">
        <v>375000</v>
      </c>
      <c r="H8" s="11">
        <v>26500</v>
      </c>
      <c r="I8" s="11">
        <v>199700</v>
      </c>
      <c r="J8" s="11">
        <v>187000</v>
      </c>
      <c r="K8" s="11">
        <v>117913</v>
      </c>
      <c r="L8" s="11">
        <v>874232</v>
      </c>
      <c r="M8" s="11">
        <v>1256506</v>
      </c>
      <c r="N8" s="1">
        <f t="shared" si="0"/>
        <v>4106851</v>
      </c>
    </row>
    <row r="9" spans="4:14" x14ac:dyDescent="0.25">
      <c r="D9" s="6">
        <v>46235</v>
      </c>
      <c r="E9" s="11">
        <v>12500</v>
      </c>
      <c r="F9" s="11">
        <v>280000</v>
      </c>
      <c r="G9" s="11">
        <v>287000</v>
      </c>
      <c r="H9" s="11">
        <v>38500</v>
      </c>
      <c r="I9" s="11">
        <v>288000</v>
      </c>
      <c r="J9" s="11">
        <v>184000</v>
      </c>
      <c r="K9" s="11">
        <v>117913</v>
      </c>
      <c r="L9" s="11">
        <v>874232</v>
      </c>
      <c r="M9" s="11">
        <v>1256506</v>
      </c>
      <c r="N9" s="1">
        <f t="shared" si="0"/>
        <v>3338651</v>
      </c>
    </row>
    <row r="10" spans="4:14" x14ac:dyDescent="0.25">
      <c r="D10" s="6">
        <v>46266</v>
      </c>
      <c r="E10" s="11">
        <v>40000</v>
      </c>
      <c r="F10" s="11">
        <v>660700</v>
      </c>
      <c r="G10" s="11">
        <v>260500</v>
      </c>
      <c r="H10" s="11">
        <v>26500</v>
      </c>
      <c r="I10" s="11">
        <v>127200</v>
      </c>
      <c r="J10" s="11">
        <v>219000</v>
      </c>
      <c r="K10" s="11">
        <v>117913</v>
      </c>
      <c r="L10" s="11">
        <v>874232</v>
      </c>
      <c r="M10" s="11">
        <v>1256506</v>
      </c>
      <c r="N10" s="1">
        <f t="shared" si="0"/>
        <v>3582551</v>
      </c>
    </row>
    <row r="11" spans="4:14" x14ac:dyDescent="0.25">
      <c r="D11" s="6">
        <v>46296</v>
      </c>
      <c r="E11" s="11">
        <v>52500</v>
      </c>
      <c r="F11" s="11">
        <v>1013000</v>
      </c>
      <c r="G11" s="11">
        <v>190000</v>
      </c>
      <c r="H11" s="11">
        <v>38500</v>
      </c>
      <c r="I11" s="11">
        <v>264000</v>
      </c>
      <c r="J11" s="11">
        <v>257000</v>
      </c>
      <c r="K11" s="11">
        <v>117913</v>
      </c>
      <c r="L11" s="11">
        <v>874232</v>
      </c>
      <c r="M11" s="11">
        <v>1256506</v>
      </c>
      <c r="N11" s="1">
        <f t="shared" si="0"/>
        <v>4063651</v>
      </c>
    </row>
    <row r="12" spans="4:14" x14ac:dyDescent="0.25">
      <c r="D12" s="6">
        <v>46327</v>
      </c>
      <c r="E12" s="11">
        <v>16500</v>
      </c>
      <c r="F12" s="11">
        <v>803000</v>
      </c>
      <c r="G12" s="11">
        <v>215000</v>
      </c>
      <c r="H12" s="11">
        <v>26500</v>
      </c>
      <c r="I12" s="11">
        <v>158928</v>
      </c>
      <c r="J12" s="11">
        <v>139000</v>
      </c>
      <c r="K12" s="11">
        <v>117913</v>
      </c>
      <c r="L12" s="11">
        <v>874232</v>
      </c>
      <c r="M12" s="11">
        <v>1256506</v>
      </c>
      <c r="N12" s="1">
        <f t="shared" si="0"/>
        <v>3607579</v>
      </c>
    </row>
    <row r="13" spans="4:14" x14ac:dyDescent="0.25">
      <c r="D13" s="6">
        <v>46357</v>
      </c>
      <c r="E13" s="11">
        <v>70000</v>
      </c>
      <c r="F13" s="11">
        <v>515000</v>
      </c>
      <c r="G13" s="11">
        <v>131000</v>
      </c>
      <c r="H13" s="11">
        <v>38500</v>
      </c>
      <c r="I13" s="11">
        <v>386000</v>
      </c>
      <c r="J13" s="11">
        <v>358000</v>
      </c>
      <c r="K13" s="11">
        <v>117913</v>
      </c>
      <c r="L13" s="11">
        <v>874232</v>
      </c>
      <c r="M13" s="11">
        <v>1256506</v>
      </c>
      <c r="N13" s="1">
        <f t="shared" si="0"/>
        <v>3747151</v>
      </c>
    </row>
    <row r="14" spans="4:14" x14ac:dyDescent="0.25">
      <c r="D14" s="6">
        <v>46388</v>
      </c>
      <c r="E14" s="11">
        <v>48000</v>
      </c>
      <c r="F14" s="11">
        <v>773000</v>
      </c>
      <c r="G14" s="11">
        <v>167500</v>
      </c>
      <c r="H14" s="11">
        <v>26500</v>
      </c>
      <c r="I14" s="11">
        <v>246000</v>
      </c>
      <c r="J14" s="11">
        <v>288500</v>
      </c>
      <c r="K14" s="11">
        <v>117913</v>
      </c>
      <c r="L14" s="11">
        <v>874232</v>
      </c>
      <c r="M14" s="11">
        <v>1256506</v>
      </c>
      <c r="N14" s="1">
        <f t="shared" si="0"/>
        <v>3798151</v>
      </c>
    </row>
    <row r="15" spans="4:14" x14ac:dyDescent="0.25">
      <c r="D15" s="6">
        <v>46419</v>
      </c>
      <c r="E15" s="11">
        <v>22500</v>
      </c>
      <c r="F15" s="11">
        <v>875000</v>
      </c>
      <c r="G15" s="11">
        <v>205500</v>
      </c>
      <c r="H15" s="11">
        <v>18100</v>
      </c>
      <c r="I15" s="11">
        <v>470132</v>
      </c>
      <c r="J15" s="11">
        <v>86000</v>
      </c>
      <c r="K15" s="11">
        <v>117913</v>
      </c>
      <c r="L15" s="11">
        <v>874232</v>
      </c>
      <c r="M15" s="11">
        <v>1256506</v>
      </c>
      <c r="N15" s="1">
        <f t="shared" si="0"/>
        <v>3925883</v>
      </c>
    </row>
    <row r="16" spans="4:14" x14ac:dyDescent="0.25">
      <c r="D16" s="6">
        <v>46447</v>
      </c>
      <c r="E16" s="11">
        <v>22500</v>
      </c>
      <c r="F16" s="11">
        <v>728000</v>
      </c>
      <c r="G16" s="11">
        <v>161500</v>
      </c>
      <c r="H16" s="11">
        <v>17500</v>
      </c>
      <c r="I16" s="11">
        <v>344800</v>
      </c>
      <c r="J16" s="11">
        <v>139000</v>
      </c>
      <c r="K16" s="11">
        <v>117913</v>
      </c>
      <c r="L16" s="11">
        <v>874232</v>
      </c>
      <c r="M16" s="11">
        <v>1256506</v>
      </c>
      <c r="N16" s="1">
        <f t="shared" si="0"/>
        <v>3661951</v>
      </c>
    </row>
    <row r="17" spans="4:14" x14ac:dyDescent="0.25">
      <c r="D17" s="1" t="s">
        <v>236</v>
      </c>
      <c r="E17" s="1">
        <f>SUM(E5:E16)</f>
        <v>339500</v>
      </c>
      <c r="F17" s="1">
        <f>SUM(F5:F16)</f>
        <v>7840200</v>
      </c>
      <c r="G17" s="1">
        <f>SUM(G5:G16)</f>
        <v>2701000</v>
      </c>
      <c r="H17" s="1">
        <f>SUM(H5:H16)</f>
        <v>398100</v>
      </c>
      <c r="I17" s="1">
        <f t="shared" ref="I17:J17" si="1">SUM(I5:I16)</f>
        <v>3244260</v>
      </c>
      <c r="J17" s="1">
        <f t="shared" si="1"/>
        <v>2205000</v>
      </c>
      <c r="K17" s="1">
        <f>SUM(K5:K16)</f>
        <v>1414956</v>
      </c>
      <c r="L17" s="1">
        <f>SUM(L5:L16)</f>
        <v>10490784</v>
      </c>
      <c r="M17" s="1">
        <f>SUM(M5:M16)</f>
        <v>15078072</v>
      </c>
      <c r="N17" s="12">
        <f>SUM(N5:N16)</f>
        <v>43711872</v>
      </c>
    </row>
    <row r="18" spans="4:14" x14ac:dyDescent="0.25">
      <c r="N18">
        <v>11309467</v>
      </c>
    </row>
    <row r="19" spans="4:14" x14ac:dyDescent="0.25">
      <c r="N19">
        <f>+N18/N17</f>
        <v>0.25872758320668582</v>
      </c>
    </row>
  </sheetData>
  <pageMargins left="0.7" right="0.7" top="0.75" bottom="0.75" header="0.3" footer="0.3"/>
  <pageSetup paperSize="0" orientation="portrait" horizontalDpi="0" verticalDpi="0" copies="0"/>
  <ignoredErrors>
    <ignoredError sqref="N5:N1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Budget summary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2026-08-03T14:24:45Z</dcterms:modified>
</cp:coreProperties>
</file>