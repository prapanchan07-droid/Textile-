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5360" windowHeight="7365" activeTab="5"/>
  </bookViews>
  <sheets>
    <sheet name="BUDGET " sheetId="1" r:id="rId1"/>
    <sheet name="24-25" sheetId="3" r:id="rId2"/>
    <sheet name="RIETER 26-27" sheetId="4" r:id="rId3"/>
    <sheet name="LMW- 26 TO 27" sheetId="5" r:id="rId4"/>
    <sheet name="Sheet1" sheetId="2" state="hidden" r:id="rId5"/>
    <sheet name="RIETER-SCH" sheetId="6" r:id="rId6"/>
    <sheet name="LMW - SCH" sheetId="7" r:id="rId7"/>
  </sheets>
  <calcPr calcId="144525"/>
</workbook>
</file>

<file path=xl/calcChain.xml><?xml version="1.0" encoding="utf-8"?>
<calcChain xmlns="http://schemas.openxmlformats.org/spreadsheetml/2006/main">
  <c r="D64" i="5" l="1"/>
  <c r="D71" i="4"/>
</calcChain>
</file>

<file path=xl/sharedStrings.xml><?xml version="1.0" encoding="utf-8"?>
<sst xmlns="http://schemas.openxmlformats.org/spreadsheetml/2006/main" count="707" uniqueCount="306">
  <si>
    <t xml:space="preserve">
</t>
  </si>
  <si>
    <t>MONTH</t>
  </si>
  <si>
    <t xml:space="preserve">DESCRIPTION </t>
  </si>
  <si>
    <t>RS/-</t>
  </si>
  <si>
    <t>Spare parts kit - 5 set</t>
  </si>
  <si>
    <t>Bottom carrier part - 100</t>
  </si>
  <si>
    <t>Servo belt -4</t>
  </si>
  <si>
    <t>Bottom  Apron 8</t>
  </si>
  <si>
    <t>Top Apron 8</t>
  </si>
  <si>
    <t>Compact Apron - 6</t>
  </si>
  <si>
    <t>Cots - 1</t>
  </si>
  <si>
    <t>Air Hose</t>
  </si>
  <si>
    <t xml:space="preserve">EP2 Grease </t>
  </si>
  <si>
    <t>Spindle Tape - 1,2</t>
  </si>
  <si>
    <t>Spindle oil - 3,4</t>
  </si>
  <si>
    <t>Air Hose - 7</t>
  </si>
  <si>
    <t>Gripper Memparnce - 100</t>
  </si>
  <si>
    <t>Gripper cap - 100</t>
  </si>
  <si>
    <t>Spindle Tabe - 6,9,10</t>
  </si>
  <si>
    <t>Spindle oil - 5</t>
  </si>
  <si>
    <t>Spindle oil - 9,10</t>
  </si>
  <si>
    <t>Pusher Assy - 7</t>
  </si>
  <si>
    <t>Compact Apron 1,4,5,6</t>
  </si>
  <si>
    <t>Bottom Apron - 2,5</t>
  </si>
  <si>
    <t>Top Apron - 2,5</t>
  </si>
  <si>
    <t>Spindle Tape - 3,4</t>
  </si>
  <si>
    <t>Spindle oil - 6,7</t>
  </si>
  <si>
    <t>Pusher Assy - 8</t>
  </si>
  <si>
    <t>Spindle oil - 8</t>
  </si>
  <si>
    <t>Pusher Assy - 9</t>
  </si>
  <si>
    <t>Bottom Apron - 4</t>
  </si>
  <si>
    <t>Top Apron - 4</t>
  </si>
  <si>
    <t>Spindle Tape - 5</t>
  </si>
  <si>
    <t>Pressure Hose - 7</t>
  </si>
  <si>
    <t>Pusher Assy - 10</t>
  </si>
  <si>
    <t>DES - 23</t>
  </si>
  <si>
    <t>Bottom Apron Renovation- 6,7</t>
  </si>
  <si>
    <t>Top Apron Renovation -6,7</t>
  </si>
  <si>
    <t>Cots Renovation -3</t>
  </si>
  <si>
    <t>compact Apron-7.8</t>
  </si>
  <si>
    <t>Bottom Apron - 1</t>
  </si>
  <si>
    <t>Top Apron - 1</t>
  </si>
  <si>
    <t>Gripper Memparnce - 2</t>
  </si>
  <si>
    <t>Pressure Hose - 8</t>
  </si>
  <si>
    <t>Gripper Memparnce - 3</t>
  </si>
  <si>
    <t>All Air Hose - 1</t>
  </si>
  <si>
    <t>Compact Apron - 1,4,5,6</t>
  </si>
  <si>
    <t>Gripper Memparnce - 4</t>
  </si>
  <si>
    <t>All Air Hose - 2</t>
  </si>
  <si>
    <t>Grpper Memprance - 5</t>
  </si>
  <si>
    <t xml:space="preserve">All Air Hose </t>
  </si>
  <si>
    <t>Servo belt - 4</t>
  </si>
  <si>
    <t>Wheel Complete - 2</t>
  </si>
  <si>
    <t>Wheel Complete - 3</t>
  </si>
  <si>
    <t xml:space="preserve">TOTAL </t>
  </si>
  <si>
    <t>Sklved Apron,Spl Tape,Traveller,Belt</t>
  </si>
  <si>
    <t xml:space="preserve">Bearing, Gripper, Damage Maiterreal </t>
  </si>
  <si>
    <t>5,10,000</t>
  </si>
  <si>
    <t>4,14,278</t>
  </si>
  <si>
    <t>3,60,423</t>
  </si>
  <si>
    <t>3,49,021</t>
  </si>
  <si>
    <t>3,18,944</t>
  </si>
  <si>
    <t>Servo belt - 2</t>
  </si>
  <si>
    <t>Servo belt - 5</t>
  </si>
  <si>
    <t>Suction Tube - 10</t>
  </si>
  <si>
    <t>Top Carrier - 1 To 5</t>
  </si>
  <si>
    <t>Sorvo belt - 3</t>
  </si>
  <si>
    <t xml:space="preserve">Spindle Brack </t>
  </si>
  <si>
    <t>3,59,587</t>
  </si>
  <si>
    <t>4,89,500</t>
  </si>
  <si>
    <t>3,97,000</t>
  </si>
  <si>
    <t>3,43,843</t>
  </si>
  <si>
    <t>Idel Gear - 6</t>
  </si>
  <si>
    <t>3,67,857</t>
  </si>
  <si>
    <t>3,69,800</t>
  </si>
  <si>
    <t>3,79,547</t>
  </si>
  <si>
    <t>46,59,797</t>
  </si>
  <si>
    <t>Compact Apron - 8,9,10</t>
  </si>
  <si>
    <t>Compact Apron - 2,3,7</t>
  </si>
  <si>
    <t>Compact Apron -8, 9,10</t>
  </si>
  <si>
    <t>DATE</t>
  </si>
  <si>
    <t>FC</t>
  </si>
  <si>
    <t>MR</t>
  </si>
  <si>
    <t>UTI%</t>
  </si>
  <si>
    <t xml:space="preserve">REMARKS </t>
  </si>
  <si>
    <t>1.3.23</t>
  </si>
  <si>
    <t>-</t>
  </si>
  <si>
    <t xml:space="preserve"> 1-240 min -Ring rail lifting tabe change </t>
  </si>
  <si>
    <t xml:space="preserve"> 1-40 min -Doffer setting </t>
  </si>
  <si>
    <t>2.3.23</t>
  </si>
  <si>
    <t xml:space="preserve">  1-70 min - Cots Buffing </t>
  </si>
  <si>
    <t>3.3.23</t>
  </si>
  <si>
    <t>4.3.23</t>
  </si>
  <si>
    <t xml:space="preserve"> 1-100 min -Cots Buffing </t>
  </si>
  <si>
    <t>5.3.23</t>
  </si>
  <si>
    <t xml:space="preserve">1-40 min  ---Doffer Setting </t>
  </si>
  <si>
    <t xml:space="preserve">9-40 min-E3 Alaram </t>
  </si>
  <si>
    <t xml:space="preserve"> 1-75 min- Gripper setting </t>
  </si>
  <si>
    <t xml:space="preserve"> 1- 20-min Main Suction low</t>
  </si>
  <si>
    <t xml:space="preserve"> 6-10 min -Empties not cattch</t>
  </si>
  <si>
    <t>6.3.23</t>
  </si>
  <si>
    <t xml:space="preserve"> 10-20 min-P1 Alaram</t>
  </si>
  <si>
    <t xml:space="preserve"> 1-90 min-Gripper Suction praplam</t>
  </si>
  <si>
    <t>7.3.23</t>
  </si>
  <si>
    <t xml:space="preserve"> 1-120 min-Full cleaning </t>
  </si>
  <si>
    <t xml:space="preserve"> 4-15min-Gripper praplam </t>
  </si>
  <si>
    <t xml:space="preserve"> 5-30 min-Cots Change </t>
  </si>
  <si>
    <t>8.3.23</t>
  </si>
  <si>
    <t xml:space="preserve"> 2-25 min-Traveller change </t>
  </si>
  <si>
    <t xml:space="preserve"> 3-35 min-Traveller change </t>
  </si>
  <si>
    <t xml:space="preserve"> 7-100 min-Elitube air cleaning </t>
  </si>
  <si>
    <t xml:space="preserve">   6-25min-Doff time empitcs not cattch</t>
  </si>
  <si>
    <t xml:space="preserve"> 2-20min-Gripper Loase</t>
  </si>
  <si>
    <t>9.3.23</t>
  </si>
  <si>
    <t xml:space="preserve"> 8-150min-Full cleaning </t>
  </si>
  <si>
    <t xml:space="preserve"> 10-100 min-Elitube air cleaning </t>
  </si>
  <si>
    <t xml:space="preserve"> 1-20 min-Gripper Loase praplam </t>
  </si>
  <si>
    <t>10.3.23</t>
  </si>
  <si>
    <t xml:space="preserve"> 2-180 min-Elitube air cleaning </t>
  </si>
  <si>
    <t xml:space="preserve"> 4-30 min-Empires not cattch </t>
  </si>
  <si>
    <t xml:space="preserve"> 1-20min-Gripper Loase </t>
  </si>
  <si>
    <t>11.3.23</t>
  </si>
  <si>
    <t xml:space="preserve"> 3-140 min -Elitube air cleaning </t>
  </si>
  <si>
    <t xml:space="preserve"> 10-40 min -Traveller change work</t>
  </si>
  <si>
    <t xml:space="preserve"> 1-60 min-Conveyer belt change work </t>
  </si>
  <si>
    <t>12.3.23</t>
  </si>
  <si>
    <t xml:space="preserve"> 6-20min-Emites not cattch </t>
  </si>
  <si>
    <t>13.3.23</t>
  </si>
  <si>
    <t xml:space="preserve"> 9-130 min-Elitube air cleaning </t>
  </si>
  <si>
    <t>14.3.23</t>
  </si>
  <si>
    <t xml:space="preserve"> 2-60min-cots inter change </t>
  </si>
  <si>
    <t>15.3.23</t>
  </si>
  <si>
    <t xml:space="preserve"> 6-240 min-Elitube air cleaning </t>
  </si>
  <si>
    <t xml:space="preserve">  1-28 min-Peg damage praplam </t>
  </si>
  <si>
    <t>16.3.23</t>
  </si>
  <si>
    <t xml:space="preserve"> 2-165min-Full cleaning work </t>
  </si>
  <si>
    <t xml:space="preserve"> 3-100 min -Elitube air cleaning </t>
  </si>
  <si>
    <t>17.3.23</t>
  </si>
  <si>
    <t xml:space="preserve"> 7-150 min -Full cleaning work </t>
  </si>
  <si>
    <t>18.3.23</t>
  </si>
  <si>
    <t>19.3.23</t>
  </si>
  <si>
    <t>20.3.23</t>
  </si>
  <si>
    <t xml:space="preserve"> 3-30 min Full cleaning planing work </t>
  </si>
  <si>
    <t>21.3.23</t>
  </si>
  <si>
    <t xml:space="preserve"> 3-150 min Full cleaning work </t>
  </si>
  <si>
    <t xml:space="preserve"> 4-75 min -Full cleaning work </t>
  </si>
  <si>
    <t>22.3.23</t>
  </si>
  <si>
    <t xml:space="preserve"> 4-150 min - Full cleaning work </t>
  </si>
  <si>
    <t>23.3.231</t>
  </si>
  <si>
    <t xml:space="preserve"> 1-180 min -Elitube air cleaning work </t>
  </si>
  <si>
    <t xml:space="preserve"> 9-180 min - Full cleaning work </t>
  </si>
  <si>
    <t xml:space="preserve"> 8-75 min -Elitube air cleaning work </t>
  </si>
  <si>
    <t>24.3.23</t>
  </si>
  <si>
    <t xml:space="preserve"> 7-100 min - Elitube air cleaning </t>
  </si>
  <si>
    <t>25.3.23 1</t>
  </si>
  <si>
    <t xml:space="preserve"> 10-200 min - Full cleaning work </t>
  </si>
  <si>
    <t xml:space="preserve"> 7-25 min - Laapat senser prablam </t>
  </si>
  <si>
    <t>26.3.23</t>
  </si>
  <si>
    <t>Pressure Hose -8</t>
  </si>
  <si>
    <t>Gripper Memparance  -3</t>
  </si>
  <si>
    <t>Spindle Tabe 8 ,9 ,10</t>
  </si>
  <si>
    <t>Sklved Apron,Spl Tape,Traveller,Belt -1</t>
  </si>
  <si>
    <t>Bearing, Gripper, Damage Maiterreal -1</t>
  </si>
  <si>
    <t>Compact Apron -1, 4 , 5, 6</t>
  </si>
  <si>
    <t>Air Hose -2</t>
  </si>
  <si>
    <t>Sklved Apron,Spl Tape,Traveller,Belt - 2</t>
  </si>
  <si>
    <t>Bearing, Gripper, Damage Maiterreal - 2</t>
  </si>
  <si>
    <t>Spindle Tabe - 7</t>
  </si>
  <si>
    <t>Servo 220 Oil -1 to 5</t>
  </si>
  <si>
    <t>Wheel Complete -4</t>
  </si>
  <si>
    <t>Air Hose - 3, 4</t>
  </si>
  <si>
    <t>Spindle oil  Change -7-10</t>
  </si>
  <si>
    <t>Bottom carrier part -  1(1200)</t>
  </si>
  <si>
    <t>Bottom carrier part ( 1200) 2</t>
  </si>
  <si>
    <t>Compact Apron - 8,9 &amp; 10</t>
  </si>
  <si>
    <t>Gripper Memparance  - 4</t>
  </si>
  <si>
    <t>Gripper Memparance  - 5</t>
  </si>
  <si>
    <t>Bottom carrier part - 1200 -3</t>
  </si>
  <si>
    <t xml:space="preserve">Servo EP2 Grease (20 kg) -1-10 </t>
  </si>
  <si>
    <t xml:space="preserve">Top Apron Change 1 ,2 </t>
  </si>
  <si>
    <t xml:space="preserve">Traveller Change 1-10 </t>
  </si>
  <si>
    <t>Wheel Complete - 1</t>
  </si>
  <si>
    <t>Sklved Apron , Spl Tabe Traveller Bearing</t>
  </si>
  <si>
    <t xml:space="preserve">Servo EP2 Grease -1-10 </t>
  </si>
  <si>
    <t>Servo 220 Oil -1 to 10</t>
  </si>
  <si>
    <t>Servo Belt - 3</t>
  </si>
  <si>
    <t>Bottom carrier part - 1200 - 4</t>
  </si>
  <si>
    <t xml:space="preserve">Cots Renovation - 3 </t>
  </si>
  <si>
    <t>Top Apron Change - 6 , 7</t>
  </si>
  <si>
    <t xml:space="preserve">Bottom Apron Change - 6 , 7 </t>
  </si>
  <si>
    <t>Cots Renovation - 1 , 5 , 7 &amp; 8</t>
  </si>
  <si>
    <t>Air Hose - 5</t>
  </si>
  <si>
    <t xml:space="preserve">Servo EP2 Grease  ( 20 kg ) -1-10 </t>
  </si>
  <si>
    <t xml:space="preserve">Sklved Apron,Spl Tape,Traveller,Belt </t>
  </si>
  <si>
    <t>Bearing, Gripper, Damage Maiterreal</t>
  </si>
  <si>
    <t>Wheel Complete - 5</t>
  </si>
  <si>
    <t>Bottom Apron Change - 5</t>
  </si>
  <si>
    <t>Compact Apron -  2 , 3</t>
  </si>
  <si>
    <t>Bottom Apron Renovation 8-10</t>
  </si>
  <si>
    <t xml:space="preserve">Top Apron Change - 5 </t>
  </si>
  <si>
    <t>Top Apron Renovation 8 -10</t>
  </si>
  <si>
    <t xml:space="preserve">Compact Apron -1 , 4 , 8 </t>
  </si>
  <si>
    <t>Spindle oil Change - 2-5</t>
  </si>
  <si>
    <t>Bottom carrier part - 1200 -5</t>
  </si>
  <si>
    <t>Wheel Complete - 2 , 3</t>
  </si>
  <si>
    <t>Roving Displacement Drive Gear Box Oil Change</t>
  </si>
  <si>
    <t>Spindle Tab -6 , 9 &amp;10</t>
  </si>
  <si>
    <t>Spindle Oil Change - 5</t>
  </si>
  <si>
    <t>Two Piece Gripper -10</t>
  </si>
  <si>
    <t>Spindle Break -9 &amp;10</t>
  </si>
  <si>
    <t>Gripper Memerance -5</t>
  </si>
  <si>
    <t>Traction Strip -5</t>
  </si>
  <si>
    <t>Spindle Break - 7 &amp; 8</t>
  </si>
  <si>
    <t>Two Piece Gripper - 09</t>
  </si>
  <si>
    <t>Traction Strip -4</t>
  </si>
  <si>
    <t>Gripper Memerance - 4</t>
  </si>
  <si>
    <t>Top Carrier -1 - 5</t>
  </si>
  <si>
    <t xml:space="preserve">Compact Elite Apron </t>
  </si>
  <si>
    <t>Traction Strip -3</t>
  </si>
  <si>
    <t>Two Piece Gripper - 08</t>
  </si>
  <si>
    <t>Spindle Oil Change -  6 , 7</t>
  </si>
  <si>
    <t>Spindle Tabe - 3 ,4</t>
  </si>
  <si>
    <t>Compact Apron - 2,3,4 , 7 &amp; 8</t>
  </si>
  <si>
    <t>Pusher Assy -9</t>
  </si>
  <si>
    <t xml:space="preserve">Bottom Apron Change -  1 -3 </t>
  </si>
  <si>
    <t>Top Apron - 2-4</t>
  </si>
  <si>
    <t>Two Piece Gripper - 07</t>
  </si>
  <si>
    <t>Traction Strip - 2</t>
  </si>
  <si>
    <t>Roving  Rail  Gear Box Oil Change</t>
  </si>
  <si>
    <t>Spindle Tabe - 5</t>
  </si>
  <si>
    <t>Compact Apron - 1 , 4 -6</t>
  </si>
  <si>
    <t>Gripper Memparnce - 1</t>
  </si>
  <si>
    <t>Traction Strip - 1</t>
  </si>
  <si>
    <t>Pusher Assy -10</t>
  </si>
  <si>
    <t xml:space="preserve">Jet Insert 1-3 </t>
  </si>
  <si>
    <t>Intermate Wheel Cyl Pin -1 to 3</t>
  </si>
  <si>
    <t>Spindle Tabe - 1-5 &amp; 6</t>
  </si>
  <si>
    <t xml:space="preserve">Bottom Apron Change -  1 </t>
  </si>
  <si>
    <t>Compact Apron - 8 - 10</t>
  </si>
  <si>
    <t xml:space="preserve">Peg Tray Piston -7 to 10 </t>
  </si>
  <si>
    <t>Cots - 4</t>
  </si>
  <si>
    <t>Traveller</t>
  </si>
  <si>
    <t>9,50,000</t>
  </si>
  <si>
    <t>RING FRAME -2024-2025</t>
  </si>
  <si>
    <t>M/C NO</t>
  </si>
  <si>
    <t xml:space="preserve">COTS MOUNTING </t>
  </si>
  <si>
    <t>TRAVELLER , BEARING , OIL GREASING</t>
  </si>
  <si>
    <t>DAMAGE MATERIAL</t>
  </si>
  <si>
    <t>SPINDLE OIL CHANGE</t>
  </si>
  <si>
    <t>ELITE APRON CHANGE</t>
  </si>
  <si>
    <t>TRAVELLER,BEARING,OIL ,GREASING ,</t>
  </si>
  <si>
    <t xml:space="preserve">RING RAIL BEARING BELT </t>
  </si>
  <si>
    <t>TRAVELLER, BEARING,OIL GREASING</t>
  </si>
  <si>
    <t>RING RAIL GEAR BOX OIL CHANGE</t>
  </si>
  <si>
    <t>BOTTOM APRON CHANGE</t>
  </si>
  <si>
    <t>DRAFFTING GEAR BOX OIL CHANGE</t>
  </si>
  <si>
    <t>TOP APRON CHANGE</t>
  </si>
  <si>
    <t>OVER ALL TOTAL</t>
  </si>
  <si>
    <t>4,5</t>
  </si>
  <si>
    <t>1,2</t>
  </si>
  <si>
    <t xml:space="preserve"> LMW RING FRAME YEARLY BUDGET  -2026-2027</t>
  </si>
  <si>
    <t>6,7</t>
  </si>
  <si>
    <t>6,8,9</t>
  </si>
  <si>
    <t>8,9</t>
  </si>
  <si>
    <t>PUSHER ASSY CHANGE</t>
  </si>
  <si>
    <t>DIAPHARM O RING FOR TOW PIECE GRIPPER CHANGE</t>
  </si>
  <si>
    <t>SPINDLE TAPE CHANGE</t>
  </si>
  <si>
    <t>6 TO 10</t>
  </si>
  <si>
    <t>SPRING LSS PISTON FOR GRIPPER CHANGE</t>
  </si>
  <si>
    <t>9,10</t>
  </si>
  <si>
    <t>1,4</t>
  </si>
  <si>
    <t>3,5</t>
  </si>
  <si>
    <t>2,3</t>
  </si>
  <si>
    <t>JOCKEY PULLEY CHANGE</t>
  </si>
  <si>
    <t>2 TO 5</t>
  </si>
  <si>
    <t>1 TO 5</t>
  </si>
  <si>
    <t>1,5</t>
  </si>
  <si>
    <t>MAIN AIR HOSE CHANGE</t>
  </si>
  <si>
    <t>GRIPPER MEMERANCE CHANGE</t>
  </si>
  <si>
    <t>3,4</t>
  </si>
  <si>
    <t>1,3</t>
  </si>
  <si>
    <t>ALL AIR HOSE CHANGE</t>
  </si>
  <si>
    <t>8,9,10</t>
  </si>
  <si>
    <t>RIETER RING FRAME YEARLY BUDGET 2026 - 2027</t>
  </si>
  <si>
    <t>RIETER RING FRAME MONTHLY SCHEDULE PLANNER</t>
  </si>
  <si>
    <t>S.NO</t>
  </si>
  <si>
    <t>FREQ</t>
  </si>
  <si>
    <t>NATURE OF WORK</t>
  </si>
  <si>
    <t>15 D</t>
  </si>
  <si>
    <t>FULL CLEANING</t>
  </si>
  <si>
    <t>1 Y</t>
  </si>
  <si>
    <t>2 Y</t>
  </si>
  <si>
    <t>DRAFTING GEAR BOX OIL CHANGE</t>
  </si>
  <si>
    <t>3 Y</t>
  </si>
  <si>
    <t>GREAPPER MEMERANCE CHANGE</t>
  </si>
  <si>
    <t>3 M</t>
  </si>
  <si>
    <t>5 Y</t>
  </si>
  <si>
    <t xml:space="preserve">COTS MOUNDING </t>
  </si>
  <si>
    <t>1 M</t>
  </si>
  <si>
    <t xml:space="preserve">TRAVELLER,BEARING OIL,GREASING DAMAGE MATERIAL </t>
  </si>
  <si>
    <t>LMW RING FRAME MONTHLY SCHEDULE PLANNER</t>
  </si>
  <si>
    <t>BUSHER ASSY CHANGE</t>
  </si>
  <si>
    <t>DIAPHARM O RING FOR TWO PIECE GRIPPER CHANGE</t>
  </si>
  <si>
    <t>8,10</t>
  </si>
  <si>
    <t>10,</t>
  </si>
  <si>
    <t>4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</si>
</sst>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/d/yyyy"/>
    <numFmt numFmtId="165" formatCode="0.0"/>
  </numFmts>
  <fonts count="20" x14ac:knownFonts="1">
    <font>
      <sz val="11"/>
      <name val="Arial"/>
    </font>
    <font>
      <b/>
      <sz val="14"/>
      <name val="Arial"/>
    </font>
    <font>
      <sz val="11"/>
      <name val="Arial"/>
    </font>
    <font>
      <sz val="14"/>
      <name val="Arial"/>
    </font>
    <font>
      <sz val="16"/>
      <name val="Arial"/>
    </font>
    <font>
      <sz val="11"/>
      <name val="Arial"/>
    </font>
    <font>
      <sz val="11"/>
      <name val="Arial"/>
    </font>
    <font>
      <sz val="11"/>
      <name val="Arial"/>
    </font>
    <font>
      <sz val="14"/>
      <name val="Arial"/>
    </font>
    <font>
      <sz val="16"/>
      <name val="Arial"/>
    </font>
    <font>
      <b/>
      <sz val="11"/>
      <name val="Arial"/>
    </font>
    <font>
      <sz val="14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11"/>
      <name val="Arial"/>
      <family val="2"/>
    </font>
    <font>
      <sz val="12"/>
      <name val="Times New Roman"/>
      <family val="1"/>
    </font>
    <font>
      <b/>
      <sz val="12"/>
      <name val="Times New Roman"/>
      <family val="1"/>
    </font>
    <font>
      <b/>
      <sz val="18"/>
      <name val="Times New Roman"/>
      <family val="1"/>
    </font>
    <font>
      <b/>
      <sz val="14"/>
      <name val="Times New Roman"/>
      <family val="1"/>
    </font>
    <font>
      <sz val="1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</fills>
  <borders count="52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ck">
        <color indexed="64"/>
      </top>
      <bottom/>
      <diagonal/>
    </border>
    <border>
      <left/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12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2" fillId="0" borderId="4" xfId="0" applyFont="1" applyBorder="1">
      <alignment vertical="center"/>
    </xf>
    <xf numFmtId="0" fontId="3" fillId="0" borderId="0" xfId="0" applyFont="1" applyBorder="1">
      <alignment vertical="center"/>
    </xf>
    <xf numFmtId="0" fontId="2" fillId="0" borderId="5" xfId="0" applyFont="1" applyBorder="1">
      <alignment vertical="center"/>
    </xf>
    <xf numFmtId="0" fontId="3" fillId="0" borderId="4" xfId="0" applyFont="1" applyBorder="1" applyAlignment="1">
      <alignment horizontal="center" vertical="top"/>
    </xf>
    <xf numFmtId="17" fontId="4" fillId="0" borderId="4" xfId="0" applyNumberFormat="1" applyFont="1" applyBorder="1" applyAlignment="1">
      <alignment horizontal="center" vertical="top"/>
    </xf>
    <xf numFmtId="0" fontId="2" fillId="0" borderId="4" xfId="0" applyFont="1" applyBorder="1" applyAlignment="1">
      <alignment vertical="center" wrapText="1"/>
    </xf>
    <xf numFmtId="0" fontId="5" fillId="0" borderId="0" xfId="0" applyFont="1" applyBorder="1">
      <alignment vertical="center"/>
    </xf>
    <xf numFmtId="0" fontId="5" fillId="0" borderId="4" xfId="0" applyFont="1" applyBorder="1">
      <alignment vertical="center"/>
    </xf>
    <xf numFmtId="0" fontId="5" fillId="0" borderId="6" xfId="0" applyFont="1" applyBorder="1">
      <alignment vertical="center"/>
    </xf>
    <xf numFmtId="0" fontId="3" fillId="0" borderId="5" xfId="0" applyFont="1" applyBorder="1">
      <alignment vertical="center"/>
    </xf>
    <xf numFmtId="0" fontId="5" fillId="0" borderId="3" xfId="0" applyFont="1" applyBorder="1">
      <alignment vertical="center"/>
    </xf>
    <xf numFmtId="0" fontId="5" fillId="0" borderId="7" xfId="0" applyFont="1" applyBorder="1">
      <alignment vertical="center"/>
    </xf>
    <xf numFmtId="0" fontId="3" fillId="0" borderId="4" xfId="0" applyFont="1" applyBorder="1">
      <alignment vertical="center"/>
    </xf>
    <xf numFmtId="0" fontId="5" fillId="0" borderId="8" xfId="0" applyFont="1" applyBorder="1">
      <alignment vertical="center"/>
    </xf>
    <xf numFmtId="0" fontId="2" fillId="0" borderId="0" xfId="0" applyFont="1" applyBorder="1">
      <alignment vertical="center"/>
    </xf>
    <xf numFmtId="17" fontId="4" fillId="0" borderId="7" xfId="0" applyNumberFormat="1" applyFont="1" applyBorder="1" applyAlignment="1">
      <alignment horizontal="center" vertical="top"/>
    </xf>
    <xf numFmtId="0" fontId="3" fillId="0" borderId="8" xfId="0" applyFont="1" applyBorder="1" applyAlignment="1">
      <alignment horizontal="center" vertical="top"/>
    </xf>
    <xf numFmtId="0" fontId="3" fillId="0" borderId="6" xfId="0" applyFont="1" applyBorder="1">
      <alignment vertical="center"/>
    </xf>
    <xf numFmtId="0" fontId="3" fillId="0" borderId="3" xfId="0" applyFont="1" applyBorder="1">
      <alignment vertical="center"/>
    </xf>
    <xf numFmtId="0" fontId="3" fillId="0" borderId="7" xfId="0" applyFont="1" applyBorder="1">
      <alignment vertical="center"/>
    </xf>
    <xf numFmtId="0" fontId="3" fillId="0" borderId="8" xfId="0" applyFont="1" applyBorder="1">
      <alignment vertical="center"/>
    </xf>
    <xf numFmtId="17" fontId="3" fillId="0" borderId="7" xfId="0" applyNumberFormat="1" applyFont="1" applyBorder="1" applyAlignment="1">
      <alignment horizontal="center" vertical="top"/>
    </xf>
    <xf numFmtId="3" fontId="3" fillId="0" borderId="8" xfId="0" applyNumberFormat="1" applyFont="1" applyBorder="1" applyAlignment="1">
      <alignment horizontal="center" vertical="top"/>
    </xf>
    <xf numFmtId="0" fontId="5" fillId="0" borderId="7" xfId="0" applyFont="1" applyBorder="1">
      <alignment vertical="center"/>
    </xf>
    <xf numFmtId="0" fontId="6" fillId="0" borderId="4" xfId="0" applyFont="1" applyBorder="1">
      <alignment vertical="center"/>
    </xf>
    <xf numFmtId="0" fontId="3" fillId="0" borderId="4" xfId="0" applyFont="1" applyBorder="1">
      <alignment vertical="center"/>
    </xf>
    <xf numFmtId="0" fontId="3" fillId="0" borderId="4" xfId="0" applyFont="1" applyBorder="1">
      <alignment vertical="center"/>
    </xf>
    <xf numFmtId="17" fontId="3" fillId="0" borderId="7" xfId="0" applyNumberFormat="1" applyFont="1" applyBorder="1">
      <alignment vertical="center"/>
    </xf>
    <xf numFmtId="0" fontId="3" fillId="0" borderId="9" xfId="0" applyFont="1" applyBorder="1">
      <alignment vertical="center"/>
    </xf>
    <xf numFmtId="0" fontId="3" fillId="0" borderId="10" xfId="0" applyFont="1" applyBorder="1">
      <alignment vertical="center"/>
    </xf>
    <xf numFmtId="17" fontId="3" fillId="0" borderId="6" xfId="0" applyNumberFormat="1" applyFont="1" applyBorder="1" applyAlignment="1">
      <alignment horizontal="center" vertical="top"/>
    </xf>
    <xf numFmtId="17" fontId="3" fillId="0" borderId="4" xfId="0" applyNumberFormat="1" applyFont="1" applyBorder="1">
      <alignment vertical="center"/>
    </xf>
    <xf numFmtId="0" fontId="3" fillId="0" borderId="7" xfId="0" applyFont="1" applyBorder="1">
      <alignment vertical="center"/>
    </xf>
    <xf numFmtId="17" fontId="3" fillId="0" borderId="7" xfId="0" applyNumberFormat="1" applyFont="1" applyBorder="1" applyAlignment="1">
      <alignment horizontal="center" vertical="top"/>
    </xf>
    <xf numFmtId="0" fontId="3" fillId="0" borderId="6" xfId="0" applyFont="1" applyBorder="1">
      <alignment vertical="center"/>
    </xf>
    <xf numFmtId="0" fontId="3" fillId="0" borderId="3" xfId="0" applyFont="1" applyBorder="1">
      <alignment vertical="center"/>
    </xf>
    <xf numFmtId="0" fontId="3" fillId="0" borderId="8" xfId="0" applyFont="1" applyBorder="1">
      <alignment vertical="center"/>
    </xf>
    <xf numFmtId="3" fontId="3" fillId="0" borderId="8" xfId="0" applyNumberFormat="1" applyFont="1" applyBorder="1" applyAlignment="1">
      <alignment horizontal="center" vertical="top"/>
    </xf>
    <xf numFmtId="0" fontId="5" fillId="0" borderId="6" xfId="0" applyFont="1" applyBorder="1">
      <alignment vertical="center"/>
    </xf>
    <xf numFmtId="0" fontId="5" fillId="0" borderId="7" xfId="0" applyFont="1" applyBorder="1">
      <alignment vertical="center"/>
    </xf>
    <xf numFmtId="0" fontId="5" fillId="0" borderId="4" xfId="0" applyFont="1" applyBorder="1">
      <alignment vertical="center"/>
    </xf>
    <xf numFmtId="0" fontId="5" fillId="0" borderId="8" xfId="0" applyFont="1" applyBorder="1">
      <alignment vertical="center"/>
    </xf>
    <xf numFmtId="0" fontId="7" fillId="0" borderId="6" xfId="0" applyFont="1" applyBorder="1">
      <alignment vertical="center"/>
    </xf>
    <xf numFmtId="0" fontId="8" fillId="0" borderId="5" xfId="0" applyFont="1" applyBorder="1">
      <alignment vertical="center"/>
    </xf>
    <xf numFmtId="0" fontId="8" fillId="0" borderId="3" xfId="0" applyFont="1" applyBorder="1">
      <alignment vertical="center"/>
    </xf>
    <xf numFmtId="0" fontId="7" fillId="0" borderId="7" xfId="0" applyFont="1" applyBorder="1">
      <alignment vertical="center"/>
    </xf>
    <xf numFmtId="0" fontId="8" fillId="0" borderId="4" xfId="0" applyFont="1" applyBorder="1">
      <alignment vertical="center"/>
    </xf>
    <xf numFmtId="0" fontId="8" fillId="0" borderId="8" xfId="0" applyFont="1" applyBorder="1">
      <alignment vertical="center"/>
    </xf>
    <xf numFmtId="0" fontId="3" fillId="0" borderId="7" xfId="0" applyFont="1" applyBorder="1" applyAlignment="1">
      <alignment horizontal="center" vertical="top"/>
    </xf>
    <xf numFmtId="0" fontId="8" fillId="0" borderId="8" xfId="0" applyFont="1" applyBorder="1" applyAlignment="1">
      <alignment horizontal="center" vertical="top"/>
    </xf>
    <xf numFmtId="0" fontId="7" fillId="0" borderId="7" xfId="0" applyFont="1" applyBorder="1">
      <alignment vertical="center"/>
    </xf>
    <xf numFmtId="0" fontId="8" fillId="0" borderId="8" xfId="0" applyFont="1" applyBorder="1">
      <alignment vertical="center"/>
    </xf>
    <xf numFmtId="17" fontId="8" fillId="0" borderId="7" xfId="0" applyNumberFormat="1" applyFont="1" applyBorder="1" applyAlignment="1">
      <alignment horizontal="center" vertical="top"/>
    </xf>
    <xf numFmtId="0" fontId="8" fillId="0" borderId="3" xfId="0" applyFont="1" applyBorder="1">
      <alignment vertical="center"/>
    </xf>
    <xf numFmtId="0" fontId="8" fillId="0" borderId="8" xfId="0" applyFont="1" applyBorder="1">
      <alignment vertical="center"/>
    </xf>
    <xf numFmtId="0" fontId="8" fillId="0" borderId="8" xfId="0" applyFont="1" applyBorder="1" applyAlignment="1">
      <alignment horizontal="center" vertical="top"/>
    </xf>
    <xf numFmtId="0" fontId="8" fillId="0" borderId="8" xfId="0" applyFont="1" applyBorder="1">
      <alignment vertical="center"/>
    </xf>
    <xf numFmtId="0" fontId="7" fillId="0" borderId="11" xfId="0" applyFont="1" applyBorder="1">
      <alignment vertical="center"/>
    </xf>
    <xf numFmtId="0" fontId="7" fillId="0" borderId="5" xfId="0" applyFont="1" applyBorder="1">
      <alignment vertical="center"/>
    </xf>
    <xf numFmtId="0" fontId="7" fillId="0" borderId="3" xfId="0" applyFont="1" applyBorder="1">
      <alignment vertical="center"/>
    </xf>
    <xf numFmtId="0" fontId="9" fillId="0" borderId="4" xfId="0" applyFont="1" applyBorder="1" applyAlignment="1">
      <alignment horizontal="center" vertical="top"/>
    </xf>
    <xf numFmtId="0" fontId="9" fillId="0" borderId="8" xfId="0" applyFont="1" applyBorder="1" applyAlignment="1">
      <alignment horizontal="center" vertical="top"/>
    </xf>
    <xf numFmtId="0" fontId="7" fillId="0" borderId="9" xfId="0" applyFont="1" applyBorder="1">
      <alignment vertical="center"/>
    </xf>
    <xf numFmtId="0" fontId="7" fillId="0" borderId="10" xfId="0" applyFont="1" applyBorder="1">
      <alignment vertical="center"/>
    </xf>
    <xf numFmtId="164" fontId="4" fillId="0" borderId="12" xfId="0" applyNumberFormat="1" applyFont="1" applyBorder="1" applyAlignment="1">
      <alignment horizontal="center" vertical="top"/>
    </xf>
    <xf numFmtId="0" fontId="4" fillId="0" borderId="12" xfId="0" applyFont="1" applyBorder="1" applyAlignment="1">
      <alignment horizontal="center" vertical="top"/>
    </xf>
    <xf numFmtId="0" fontId="3" fillId="0" borderId="12" xfId="0" applyFont="1" applyBorder="1" applyAlignment="1">
      <alignment horizontal="center" vertical="top"/>
    </xf>
    <xf numFmtId="164" fontId="10" fillId="0" borderId="12" xfId="0" applyNumberFormat="1" applyFont="1" applyBorder="1" applyAlignment="1">
      <alignment horizontal="center" vertical="top"/>
    </xf>
    <xf numFmtId="0" fontId="2" fillId="0" borderId="12" xfId="0" applyFont="1" applyBorder="1" applyAlignment="1">
      <alignment horizontal="center" vertical="top"/>
    </xf>
    <xf numFmtId="0" fontId="2" fillId="0" borderId="12" xfId="0" applyFont="1" applyBorder="1">
      <alignment vertical="center"/>
    </xf>
    <xf numFmtId="165" fontId="2" fillId="0" borderId="12" xfId="0" applyNumberFormat="1" applyFont="1" applyBorder="1" applyAlignment="1">
      <alignment horizontal="center" vertical="top"/>
    </xf>
    <xf numFmtId="0" fontId="2" fillId="0" borderId="12" xfId="0" applyFont="1" applyBorder="1" applyAlignment="1">
      <alignment horizontal="left" vertical="center"/>
    </xf>
    <xf numFmtId="0" fontId="2" fillId="0" borderId="12" xfId="0" applyFont="1" applyBorder="1" applyAlignment="1">
      <alignment horizontal="left" vertical="top"/>
    </xf>
    <xf numFmtId="0" fontId="1" fillId="0" borderId="6" xfId="0" applyFont="1" applyBorder="1" applyAlignment="1">
      <alignment horizontal="center" vertical="top"/>
    </xf>
    <xf numFmtId="0" fontId="1" fillId="0" borderId="13" xfId="0" applyFont="1" applyBorder="1" applyAlignment="1">
      <alignment horizontal="center" vertical="top"/>
    </xf>
    <xf numFmtId="0" fontId="2" fillId="0" borderId="14" xfId="0" applyFont="1" applyBorder="1">
      <alignment vertical="center"/>
    </xf>
    <xf numFmtId="0" fontId="3" fillId="0" borderId="14" xfId="0" applyFont="1" applyBorder="1" applyAlignment="1">
      <alignment horizontal="center" vertical="top"/>
    </xf>
    <xf numFmtId="0" fontId="2" fillId="0" borderId="14" xfId="0" applyFont="1" applyBorder="1" applyAlignment="1">
      <alignment vertical="center" wrapText="1"/>
    </xf>
    <xf numFmtId="0" fontId="5" fillId="0" borderId="15" xfId="0" applyFont="1" applyBorder="1">
      <alignment vertical="center"/>
    </xf>
    <xf numFmtId="0" fontId="3" fillId="0" borderId="14" xfId="0" applyFont="1" applyBorder="1">
      <alignment vertical="center"/>
    </xf>
    <xf numFmtId="0" fontId="3" fillId="0" borderId="15" xfId="0" applyFont="1" applyBorder="1">
      <alignment vertical="center"/>
    </xf>
    <xf numFmtId="0" fontId="2" fillId="0" borderId="13" xfId="0" applyFont="1" applyBorder="1">
      <alignment vertical="center"/>
    </xf>
    <xf numFmtId="17" fontId="4" fillId="0" borderId="14" xfId="0" applyNumberFormat="1" applyFont="1" applyBorder="1" applyAlignment="1">
      <alignment horizontal="center" vertical="top"/>
    </xf>
    <xf numFmtId="0" fontId="2" fillId="0" borderId="15" xfId="0" applyFont="1" applyBorder="1">
      <alignment vertical="center"/>
    </xf>
    <xf numFmtId="0" fontId="2" fillId="0" borderId="18" xfId="0" applyFont="1" applyBorder="1">
      <alignment vertical="center"/>
    </xf>
    <xf numFmtId="17" fontId="4" fillId="0" borderId="19" xfId="0" applyNumberFormat="1" applyFont="1" applyBorder="1" applyAlignment="1">
      <alignment horizontal="center" vertical="top"/>
    </xf>
    <xf numFmtId="0" fontId="1" fillId="0" borderId="20" xfId="0" applyFont="1" applyBorder="1" applyAlignment="1">
      <alignment horizontal="center" vertical="top"/>
    </xf>
    <xf numFmtId="0" fontId="3" fillId="0" borderId="17" xfId="0" applyFont="1" applyBorder="1" applyAlignment="1">
      <alignment horizontal="center" vertical="top"/>
    </xf>
    <xf numFmtId="0" fontId="5" fillId="0" borderId="17" xfId="0" applyFont="1" applyBorder="1">
      <alignment vertical="center"/>
    </xf>
    <xf numFmtId="0" fontId="5" fillId="0" borderId="13" xfId="0" applyFont="1" applyBorder="1">
      <alignment vertical="center"/>
    </xf>
    <xf numFmtId="0" fontId="3" fillId="0" borderId="13" xfId="0" applyFont="1" applyBorder="1">
      <alignment vertical="center"/>
    </xf>
    <xf numFmtId="0" fontId="3" fillId="0" borderId="18" xfId="0" applyFont="1" applyBorder="1">
      <alignment vertical="center"/>
    </xf>
    <xf numFmtId="0" fontId="3" fillId="0" borderId="19" xfId="0" applyFont="1" applyBorder="1">
      <alignment vertical="center"/>
    </xf>
    <xf numFmtId="0" fontId="5" fillId="0" borderId="16" xfId="0" applyFont="1" applyBorder="1">
      <alignment vertical="center"/>
    </xf>
    <xf numFmtId="0" fontId="3" fillId="0" borderId="21" xfId="0" applyFont="1" applyBorder="1">
      <alignment vertical="center"/>
    </xf>
    <xf numFmtId="0" fontId="3" fillId="0" borderId="15" xfId="0" applyFont="1" applyBorder="1" applyAlignment="1">
      <alignment horizontal="center" vertical="top"/>
    </xf>
    <xf numFmtId="0" fontId="2" fillId="0" borderId="20" xfId="0" applyFont="1" applyBorder="1">
      <alignment vertical="center"/>
    </xf>
    <xf numFmtId="0" fontId="5" fillId="0" borderId="19" xfId="0" applyFont="1" applyBorder="1">
      <alignment vertical="center"/>
    </xf>
    <xf numFmtId="0" fontId="3" fillId="0" borderId="17" xfId="0" applyFont="1" applyBorder="1">
      <alignment vertical="center"/>
    </xf>
    <xf numFmtId="17" fontId="3" fillId="0" borderId="14" xfId="0" applyNumberFormat="1" applyFont="1" applyBorder="1" applyAlignment="1">
      <alignment horizontal="center" vertical="top"/>
    </xf>
    <xf numFmtId="3" fontId="3" fillId="0" borderId="14" xfId="0" applyNumberFormat="1" applyFont="1" applyBorder="1" applyAlignment="1">
      <alignment horizontal="center" vertical="top"/>
    </xf>
    <xf numFmtId="0" fontId="11" fillId="0" borderId="4" xfId="0" applyFont="1" applyBorder="1">
      <alignment vertical="center"/>
    </xf>
    <xf numFmtId="0" fontId="12" fillId="0" borderId="15" xfId="0" applyFont="1" applyBorder="1">
      <alignment vertical="center"/>
    </xf>
    <xf numFmtId="0" fontId="11" fillId="0" borderId="14" xfId="0" applyFont="1" applyBorder="1">
      <alignment vertical="center"/>
    </xf>
    <xf numFmtId="0" fontId="3" fillId="0" borderId="20" xfId="0" applyFont="1" applyBorder="1">
      <alignment vertical="center"/>
    </xf>
    <xf numFmtId="3" fontId="3" fillId="0" borderId="17" xfId="0" applyNumberFormat="1" applyFont="1" applyBorder="1" applyAlignment="1">
      <alignment horizontal="center" vertical="top"/>
    </xf>
    <xf numFmtId="0" fontId="3" fillId="0" borderId="16" xfId="0" applyFont="1" applyBorder="1">
      <alignment vertical="center"/>
    </xf>
    <xf numFmtId="0" fontId="11" fillId="0" borderId="15" xfId="0" applyFont="1" applyBorder="1">
      <alignment vertical="center"/>
    </xf>
    <xf numFmtId="0" fontId="11" fillId="0" borderId="13" xfId="0" applyFont="1" applyBorder="1">
      <alignment vertical="center"/>
    </xf>
    <xf numFmtId="17" fontId="3" fillId="0" borderId="13" xfId="0" applyNumberFormat="1" applyFont="1" applyBorder="1" applyAlignment="1">
      <alignment horizontal="center" vertical="top"/>
    </xf>
    <xf numFmtId="0" fontId="11" fillId="0" borderId="5" xfId="0" applyFont="1" applyBorder="1">
      <alignment vertical="center"/>
    </xf>
    <xf numFmtId="0" fontId="11" fillId="0" borderId="7" xfId="0" applyFont="1" applyBorder="1" applyAlignment="1">
      <alignment horizontal="center" vertical="top"/>
    </xf>
    <xf numFmtId="17" fontId="11" fillId="0" borderId="7" xfId="0" applyNumberFormat="1" applyFont="1" applyBorder="1" applyAlignment="1">
      <alignment horizontal="center" vertical="top"/>
    </xf>
    <xf numFmtId="0" fontId="14" fillId="0" borderId="0" xfId="0" applyFont="1">
      <alignment vertical="center"/>
    </xf>
    <xf numFmtId="0" fontId="13" fillId="0" borderId="0" xfId="0" applyFont="1" applyAlignment="1">
      <alignment horizontal="center" vertical="center"/>
    </xf>
    <xf numFmtId="0" fontId="7" fillId="0" borderId="4" xfId="0" applyFont="1" applyBorder="1">
      <alignment vertical="center"/>
    </xf>
    <xf numFmtId="0" fontId="15" fillId="0" borderId="0" xfId="0" applyFont="1">
      <alignment vertical="center"/>
    </xf>
    <xf numFmtId="0" fontId="16" fillId="0" borderId="0" xfId="0" applyFont="1">
      <alignment vertical="center"/>
    </xf>
    <xf numFmtId="0" fontId="16" fillId="0" borderId="0" xfId="0" applyFont="1" applyBorder="1">
      <alignment vertical="center"/>
    </xf>
    <xf numFmtId="0" fontId="15" fillId="0" borderId="0" xfId="0" applyFont="1" applyAlignment="1">
      <alignment horizontal="center" vertical="center"/>
    </xf>
    <xf numFmtId="0" fontId="15" fillId="0" borderId="12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12" xfId="0" applyFont="1" applyBorder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16" fillId="0" borderId="12" xfId="0" applyFont="1" applyBorder="1" applyAlignment="1">
      <alignment horizontal="left" vertical="top"/>
    </xf>
    <xf numFmtId="0" fontId="16" fillId="0" borderId="12" xfId="0" applyFont="1" applyBorder="1" applyAlignment="1">
      <alignment horizontal="left" vertical="center" wrapText="1"/>
    </xf>
    <xf numFmtId="0" fontId="16" fillId="0" borderId="28" xfId="0" applyFont="1" applyBorder="1" applyAlignment="1">
      <alignment horizontal="center" vertical="center"/>
    </xf>
    <xf numFmtId="0" fontId="16" fillId="0" borderId="12" xfId="0" applyFont="1" applyBorder="1" applyAlignment="1">
      <alignment horizontal="center" vertical="center"/>
    </xf>
    <xf numFmtId="16" fontId="16" fillId="0" borderId="12" xfId="0" applyNumberFormat="1" applyFont="1" applyBorder="1" applyAlignment="1">
      <alignment horizontal="center" vertical="center"/>
    </xf>
    <xf numFmtId="0" fontId="16" fillId="0" borderId="19" xfId="0" applyFont="1" applyBorder="1" applyAlignment="1">
      <alignment horizontal="center" vertical="top"/>
    </xf>
    <xf numFmtId="0" fontId="16" fillId="0" borderId="37" xfId="0" applyFont="1" applyBorder="1">
      <alignment vertical="center"/>
    </xf>
    <xf numFmtId="0" fontId="16" fillId="0" borderId="31" xfId="0" applyFont="1" applyBorder="1">
      <alignment vertical="center"/>
    </xf>
    <xf numFmtId="0" fontId="16" fillId="0" borderId="38" xfId="0" applyFont="1" applyBorder="1">
      <alignment vertical="center"/>
    </xf>
    <xf numFmtId="0" fontId="16" fillId="0" borderId="39" xfId="0" applyFont="1" applyBorder="1">
      <alignment vertical="center"/>
    </xf>
    <xf numFmtId="3" fontId="16" fillId="0" borderId="12" xfId="0" applyNumberFormat="1" applyFont="1" applyBorder="1" applyAlignment="1">
      <alignment horizontal="center" vertical="center"/>
    </xf>
    <xf numFmtId="0" fontId="16" fillId="0" borderId="12" xfId="0" applyFont="1" applyBorder="1" applyAlignment="1">
      <alignment horizontal="center" vertical="top"/>
    </xf>
    <xf numFmtId="0" fontId="16" fillId="4" borderId="12" xfId="0" applyFont="1" applyFill="1" applyBorder="1" applyAlignment="1">
      <alignment horizontal="center" vertical="center"/>
    </xf>
    <xf numFmtId="0" fontId="0" fillId="0" borderId="0" xfId="0" applyNumberFormat="1">
      <alignment vertical="center"/>
    </xf>
    <xf numFmtId="0" fontId="14" fillId="0" borderId="12" xfId="0" applyFont="1" applyBorder="1" applyAlignment="1">
      <alignment horizontal="center" vertical="center"/>
    </xf>
    <xf numFmtId="17" fontId="14" fillId="0" borderId="12" xfId="0" applyNumberFormat="1" applyFont="1" applyBorder="1" applyAlignment="1">
      <alignment horizontal="center" vertical="center"/>
    </xf>
    <xf numFmtId="17" fontId="14" fillId="0" borderId="12" xfId="0" applyNumberFormat="1" applyFont="1" applyBorder="1">
      <alignment vertical="center"/>
    </xf>
    <xf numFmtId="0" fontId="0" fillId="0" borderId="12" xfId="0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19" fillId="0" borderId="12" xfId="0" applyNumberFormat="1" applyFont="1" applyBorder="1" applyAlignment="1">
      <alignment horizontal="center" vertical="center"/>
    </xf>
    <xf numFmtId="0" fontId="0" fillId="0" borderId="12" xfId="0" applyNumberFormat="1" applyBorder="1" applyAlignment="1">
      <alignment horizontal="center" vertical="center"/>
    </xf>
    <xf numFmtId="0" fontId="19" fillId="0" borderId="12" xfId="0" applyFont="1" applyBorder="1" applyAlignment="1">
      <alignment horizontal="left" vertical="top"/>
    </xf>
    <xf numFmtId="0" fontId="0" fillId="0" borderId="0" xfId="0" applyAlignment="1">
      <alignment horizontal="left" vertical="top"/>
    </xf>
    <xf numFmtId="0" fontId="14" fillId="0" borderId="44" xfId="0" applyFont="1" applyBorder="1" applyAlignment="1">
      <alignment horizontal="center" vertical="center"/>
    </xf>
    <xf numFmtId="17" fontId="14" fillId="0" borderId="45" xfId="0" applyNumberFormat="1" applyFont="1" applyBorder="1">
      <alignment vertical="center"/>
    </xf>
    <xf numFmtId="0" fontId="0" fillId="0" borderId="44" xfId="0" applyBorder="1" applyAlignment="1">
      <alignment horizontal="center" vertical="center"/>
    </xf>
    <xf numFmtId="0" fontId="19" fillId="0" borderId="45" xfId="0" applyNumberFormat="1" applyFont="1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19" fillId="0" borderId="45" xfId="0" applyFont="1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19" fillId="0" borderId="47" xfId="0" applyFont="1" applyBorder="1" applyAlignment="1">
      <alignment horizontal="center" vertical="center"/>
    </xf>
    <xf numFmtId="0" fontId="19" fillId="0" borderId="47" xfId="0" applyFont="1" applyBorder="1" applyAlignment="1">
      <alignment horizontal="left" vertical="top" wrapText="1"/>
    </xf>
    <xf numFmtId="0" fontId="19" fillId="0" borderId="47" xfId="0" applyNumberFormat="1" applyFont="1" applyBorder="1" applyAlignment="1">
      <alignment horizontal="center" vertical="center"/>
    </xf>
    <xf numFmtId="0" fontId="19" fillId="0" borderId="48" xfId="0" applyNumberFormat="1" applyFont="1" applyBorder="1" applyAlignment="1">
      <alignment horizontal="center" vertical="center"/>
    </xf>
    <xf numFmtId="0" fontId="12" fillId="0" borderId="44" xfId="0" applyFont="1" applyBorder="1" applyAlignment="1">
      <alignment horizontal="center" vertical="center"/>
    </xf>
    <xf numFmtId="0" fontId="12" fillId="0" borderId="12" xfId="0" applyFont="1" applyBorder="1" applyAlignment="1">
      <alignment horizontal="center" vertical="center"/>
    </xf>
    <xf numFmtId="17" fontId="12" fillId="0" borderId="12" xfId="0" applyNumberFormat="1" applyFont="1" applyBorder="1" applyAlignment="1">
      <alignment horizontal="center" vertical="center"/>
    </xf>
    <xf numFmtId="17" fontId="12" fillId="0" borderId="12" xfId="0" applyNumberFormat="1" applyFont="1" applyBorder="1">
      <alignment vertical="center"/>
    </xf>
    <xf numFmtId="17" fontId="12" fillId="0" borderId="45" xfId="0" applyNumberFormat="1" applyFont="1" applyBorder="1">
      <alignment vertical="center"/>
    </xf>
    <xf numFmtId="0" fontId="12" fillId="0" borderId="12" xfId="0" applyFont="1" applyBorder="1" applyAlignment="1">
      <alignment horizontal="left" vertical="top"/>
    </xf>
    <xf numFmtId="0" fontId="12" fillId="0" borderId="12" xfId="0" applyNumberFormat="1" applyFont="1" applyBorder="1" applyAlignment="1">
      <alignment horizontal="center" vertical="center"/>
    </xf>
    <xf numFmtId="0" fontId="12" fillId="0" borderId="12" xfId="0" applyFont="1" applyBorder="1" applyAlignment="1">
      <alignment horizontal="left" vertical="top" wrapText="1"/>
    </xf>
    <xf numFmtId="0" fontId="12" fillId="0" borderId="45" xfId="0" applyFont="1" applyBorder="1" applyAlignment="1">
      <alignment horizontal="center" vertical="center"/>
    </xf>
    <xf numFmtId="17" fontId="8" fillId="0" borderId="22" xfId="0" applyNumberFormat="1" applyFont="1" applyBorder="1" applyAlignment="1">
      <alignment horizontal="center" vertical="center"/>
    </xf>
    <xf numFmtId="17" fontId="8" fillId="0" borderId="17" xfId="0" applyNumberFormat="1" applyFont="1" applyBorder="1" applyAlignment="1">
      <alignment horizontal="center" vertical="center"/>
    </xf>
    <xf numFmtId="17" fontId="8" fillId="0" borderId="23" xfId="0" applyNumberFormat="1" applyFont="1" applyBorder="1" applyAlignment="1">
      <alignment horizontal="center" vertical="center"/>
    </xf>
    <xf numFmtId="0" fontId="16" fillId="2" borderId="27" xfId="0" applyFont="1" applyFill="1" applyBorder="1" applyAlignment="1">
      <alignment horizontal="center" vertical="center"/>
    </xf>
    <xf numFmtId="0" fontId="16" fillId="2" borderId="42" xfId="0" applyFont="1" applyFill="1" applyBorder="1" applyAlignment="1">
      <alignment horizontal="center" vertical="center"/>
    </xf>
    <xf numFmtId="0" fontId="15" fillId="2" borderId="27" xfId="0" applyFont="1" applyFill="1" applyBorder="1" applyAlignment="1">
      <alignment horizontal="center" vertical="center"/>
    </xf>
    <xf numFmtId="0" fontId="15" fillId="2" borderId="42" xfId="0" applyFont="1" applyFill="1" applyBorder="1" applyAlignment="1">
      <alignment horizontal="center" vertical="center"/>
    </xf>
    <xf numFmtId="0" fontId="16" fillId="3" borderId="29" xfId="0" applyNumberFormat="1" applyFont="1" applyFill="1" applyBorder="1" applyAlignment="1">
      <alignment horizontal="center" vertical="center"/>
    </xf>
    <xf numFmtId="0" fontId="16" fillId="3" borderId="30" xfId="0" applyNumberFormat="1" applyFont="1" applyFill="1" applyBorder="1" applyAlignment="1">
      <alignment horizontal="center" vertical="center"/>
    </xf>
    <xf numFmtId="0" fontId="16" fillId="3" borderId="31" xfId="0" applyNumberFormat="1" applyFont="1" applyFill="1" applyBorder="1" applyAlignment="1">
      <alignment horizontal="center" vertical="center"/>
    </xf>
    <xf numFmtId="0" fontId="16" fillId="3" borderId="32" xfId="0" applyNumberFormat="1" applyFont="1" applyFill="1" applyBorder="1" applyAlignment="1">
      <alignment horizontal="center" vertical="center"/>
    </xf>
    <xf numFmtId="0" fontId="16" fillId="0" borderId="31" xfId="0" applyFont="1" applyBorder="1" applyAlignment="1">
      <alignment horizontal="center" vertical="center"/>
    </xf>
    <xf numFmtId="0" fontId="16" fillId="0" borderId="32" xfId="0" applyFont="1" applyBorder="1" applyAlignment="1">
      <alignment horizontal="center" vertical="center"/>
    </xf>
    <xf numFmtId="0" fontId="18" fillId="0" borderId="34" xfId="0" applyFont="1" applyBorder="1" applyAlignment="1">
      <alignment horizontal="center" vertical="center"/>
    </xf>
    <xf numFmtId="0" fontId="18" fillId="0" borderId="35" xfId="0" applyFont="1" applyBorder="1" applyAlignment="1">
      <alignment horizontal="center" vertical="center"/>
    </xf>
    <xf numFmtId="0" fontId="18" fillId="0" borderId="36" xfId="0" applyFont="1" applyBorder="1" applyAlignment="1">
      <alignment horizontal="center" vertical="center"/>
    </xf>
    <xf numFmtId="0" fontId="16" fillId="3" borderId="29" xfId="0" applyFont="1" applyFill="1" applyBorder="1" applyAlignment="1">
      <alignment horizontal="center" vertical="center"/>
    </xf>
    <xf numFmtId="0" fontId="16" fillId="3" borderId="40" xfId="0" applyFont="1" applyFill="1" applyBorder="1" applyAlignment="1">
      <alignment horizontal="center" vertical="center"/>
    </xf>
    <xf numFmtId="0" fontId="16" fillId="3" borderId="30" xfId="0" applyFont="1" applyFill="1" applyBorder="1" applyAlignment="1">
      <alignment horizontal="center" vertical="center"/>
    </xf>
    <xf numFmtId="0" fontId="16" fillId="3" borderId="31" xfId="0" applyFont="1" applyFill="1" applyBorder="1" applyAlignment="1">
      <alignment horizontal="center" vertical="center"/>
    </xf>
    <xf numFmtId="0" fontId="16" fillId="3" borderId="41" xfId="0" applyFont="1" applyFill="1" applyBorder="1" applyAlignment="1">
      <alignment horizontal="center" vertical="center"/>
    </xf>
    <xf numFmtId="0" fontId="16" fillId="3" borderId="32" xfId="0" applyFont="1" applyFill="1" applyBorder="1" applyAlignment="1">
      <alignment horizontal="center" vertical="center"/>
    </xf>
    <xf numFmtId="17" fontId="16" fillId="0" borderId="25" xfId="0" applyNumberFormat="1" applyFont="1" applyBorder="1" applyAlignment="1">
      <alignment horizontal="center" vertical="center"/>
    </xf>
    <xf numFmtId="17" fontId="16" fillId="0" borderId="33" xfId="0" applyNumberFormat="1" applyFont="1" applyBorder="1" applyAlignment="1">
      <alignment horizontal="center" vertical="center"/>
    </xf>
    <xf numFmtId="17" fontId="16" fillId="0" borderId="26" xfId="0" applyNumberFormat="1" applyFont="1" applyBorder="1" applyAlignment="1">
      <alignment horizontal="center" vertical="center"/>
    </xf>
    <xf numFmtId="17" fontId="16" fillId="0" borderId="24" xfId="0" applyNumberFormat="1" applyFont="1" applyBorder="1" applyAlignment="1">
      <alignment horizontal="center" vertical="center"/>
    </xf>
    <xf numFmtId="17" fontId="16" fillId="0" borderId="12" xfId="0" applyNumberFormat="1" applyFont="1" applyBorder="1" applyAlignment="1">
      <alignment horizontal="center" vertical="center"/>
    </xf>
    <xf numFmtId="0" fontId="17" fillId="0" borderId="29" xfId="0" applyFont="1" applyBorder="1" applyAlignment="1">
      <alignment horizontal="center" vertical="center"/>
    </xf>
    <xf numFmtId="0" fontId="17" fillId="0" borderId="40" xfId="0" applyFont="1" applyBorder="1" applyAlignment="1">
      <alignment horizontal="center" vertical="center"/>
    </xf>
    <xf numFmtId="0" fontId="17" fillId="0" borderId="30" xfId="0" applyFont="1" applyBorder="1" applyAlignment="1">
      <alignment horizontal="center" vertical="center"/>
    </xf>
    <xf numFmtId="0" fontId="17" fillId="0" borderId="31" xfId="0" applyFont="1" applyBorder="1" applyAlignment="1">
      <alignment horizontal="center" vertical="center"/>
    </xf>
    <xf numFmtId="0" fontId="17" fillId="0" borderId="41" xfId="0" applyFont="1" applyBorder="1" applyAlignment="1">
      <alignment horizontal="center" vertical="center"/>
    </xf>
    <xf numFmtId="0" fontId="17" fillId="0" borderId="32" xfId="0" applyFont="1" applyBorder="1" applyAlignment="1">
      <alignment horizontal="center" vertical="center"/>
    </xf>
    <xf numFmtId="0" fontId="16" fillId="0" borderId="38" xfId="0" applyFont="1" applyBorder="1" applyAlignment="1">
      <alignment horizontal="center" vertical="center"/>
    </xf>
    <xf numFmtId="0" fontId="16" fillId="0" borderId="43" xfId="0" applyFont="1" applyBorder="1" applyAlignment="1">
      <alignment horizontal="center" vertical="center"/>
    </xf>
    <xf numFmtId="0" fontId="14" fillId="0" borderId="49" xfId="0" applyFont="1" applyBorder="1" applyAlignment="1">
      <alignment horizontal="center" vertical="center"/>
    </xf>
    <xf numFmtId="0" fontId="14" fillId="0" borderId="50" xfId="0" applyFont="1" applyBorder="1" applyAlignment="1">
      <alignment horizontal="center" vertical="center"/>
    </xf>
    <xf numFmtId="0" fontId="14" fillId="0" borderId="51" xfId="0" applyFont="1" applyBorder="1" applyAlignment="1">
      <alignment horizontal="center" vertical="center"/>
    </xf>
    <xf numFmtId="0" fontId="12" fillId="0" borderId="49" xfId="0" applyFont="1" applyBorder="1" applyAlignment="1">
      <alignment horizontal="center" vertical="center"/>
    </xf>
    <xf numFmtId="0" fontId="12" fillId="0" borderId="50" xfId="0" applyFont="1" applyBorder="1" applyAlignment="1">
      <alignment horizontal="center" vertical="center"/>
    </xf>
    <xf numFmtId="0" fontId="12" fillId="0" borderId="5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19"/>
  <sheetViews>
    <sheetView zoomScaleNormal="100" workbookViewId="0">
      <selection activeCell="A2" sqref="A2:C119"/>
    </sheetView>
  </sheetViews>
  <sheetFormatPr defaultColWidth="10" defaultRowHeight="14.25" x14ac:dyDescent="0.2"/>
  <cols>
    <col min="1" max="1" width="13.75" customWidth="1"/>
    <col min="2" max="2" width="44" customWidth="1"/>
    <col min="3" max="3" width="15.375" customWidth="1"/>
  </cols>
  <sheetData>
    <row r="2" spans="1:6" ht="18" x14ac:dyDescent="0.2">
      <c r="A2" s="1" t="s">
        <v>1</v>
      </c>
      <c r="B2" s="2" t="s">
        <v>2</v>
      </c>
      <c r="C2" s="3" t="s">
        <v>3</v>
      </c>
    </row>
    <row r="3" spans="1:6" ht="18" x14ac:dyDescent="0.2">
      <c r="A3" s="4"/>
      <c r="B3" s="5" t="s">
        <v>36</v>
      </c>
      <c r="C3" s="6"/>
    </row>
    <row r="4" spans="1:6" ht="18" x14ac:dyDescent="0.2">
      <c r="A4" s="4"/>
      <c r="B4" s="5" t="s">
        <v>37</v>
      </c>
      <c r="C4" s="4"/>
    </row>
    <row r="5" spans="1:6" ht="18" x14ac:dyDescent="0.2">
      <c r="A5" s="4"/>
      <c r="B5" s="5" t="s">
        <v>38</v>
      </c>
      <c r="C5" s="7" t="s">
        <v>57</v>
      </c>
    </row>
    <row r="6" spans="1:6" ht="21.95" customHeight="1" x14ac:dyDescent="0.2">
      <c r="A6" s="8">
        <v>45017</v>
      </c>
      <c r="B6" s="5" t="s">
        <v>4</v>
      </c>
      <c r="C6" s="9" t="s">
        <v>0</v>
      </c>
    </row>
    <row r="7" spans="1:6" ht="20.25" x14ac:dyDescent="0.2">
      <c r="A7" s="8"/>
      <c r="B7" s="5" t="s">
        <v>5</v>
      </c>
      <c r="C7" s="9"/>
    </row>
    <row r="8" spans="1:6" ht="18" x14ac:dyDescent="0.2">
      <c r="A8" s="4"/>
      <c r="B8" s="5" t="s">
        <v>6</v>
      </c>
      <c r="C8" s="4"/>
    </row>
    <row r="9" spans="1:6" ht="18" x14ac:dyDescent="0.2">
      <c r="A9" s="4"/>
      <c r="B9" s="5" t="s">
        <v>55</v>
      </c>
      <c r="C9" s="4"/>
    </row>
    <row r="10" spans="1:6" ht="18" x14ac:dyDescent="0.2">
      <c r="A10" s="7"/>
      <c r="B10" s="5" t="s">
        <v>56</v>
      </c>
      <c r="C10" s="4"/>
    </row>
    <row r="11" spans="1:6" x14ac:dyDescent="0.2">
      <c r="A11" s="4"/>
      <c r="B11" s="10"/>
      <c r="C11" s="11"/>
    </row>
    <row r="12" spans="1:6" ht="18" x14ac:dyDescent="0.2">
      <c r="A12" s="12"/>
      <c r="B12" s="13" t="s">
        <v>7</v>
      </c>
      <c r="C12" s="14"/>
    </row>
    <row r="13" spans="1:6" ht="18" x14ac:dyDescent="0.2">
      <c r="A13" s="15"/>
      <c r="B13" s="16" t="s">
        <v>8</v>
      </c>
      <c r="C13" s="17"/>
    </row>
    <row r="14" spans="1:6" ht="18" x14ac:dyDescent="0.2">
      <c r="A14" s="15"/>
      <c r="B14" s="16" t="s">
        <v>9</v>
      </c>
      <c r="C14" s="17"/>
      <c r="D14" s="10"/>
      <c r="E14" s="18"/>
      <c r="F14" s="18"/>
    </row>
    <row r="15" spans="1:6" ht="20.25" x14ac:dyDescent="0.2">
      <c r="A15" s="19">
        <v>45047</v>
      </c>
      <c r="B15" s="16" t="s">
        <v>10</v>
      </c>
      <c r="C15" s="20" t="s">
        <v>58</v>
      </c>
      <c r="D15" s="10"/>
      <c r="E15" s="18"/>
      <c r="F15" s="18"/>
    </row>
    <row r="16" spans="1:6" ht="18" x14ac:dyDescent="0.2">
      <c r="A16" s="15"/>
      <c r="B16" s="16" t="s">
        <v>11</v>
      </c>
      <c r="C16" s="17"/>
    </row>
    <row r="17" spans="1:3" ht="18" x14ac:dyDescent="0.2">
      <c r="A17" s="15"/>
      <c r="B17" s="16" t="s">
        <v>12</v>
      </c>
      <c r="C17" s="17"/>
    </row>
    <row r="18" spans="1:3" ht="18" x14ac:dyDescent="0.2">
      <c r="A18" s="15"/>
      <c r="B18" s="16" t="s">
        <v>55</v>
      </c>
      <c r="C18" s="17"/>
    </row>
    <row r="19" spans="1:3" ht="18" x14ac:dyDescent="0.2">
      <c r="A19" s="15"/>
      <c r="B19" s="16" t="s">
        <v>56</v>
      </c>
      <c r="C19" s="17"/>
    </row>
    <row r="20" spans="1:3" x14ac:dyDescent="0.2">
      <c r="A20" s="15"/>
      <c r="B20" s="11"/>
      <c r="C20" s="17"/>
    </row>
    <row r="21" spans="1:3" ht="18" x14ac:dyDescent="0.2">
      <c r="A21" s="21"/>
      <c r="B21" s="13" t="s">
        <v>13</v>
      </c>
      <c r="C21" s="22"/>
    </row>
    <row r="22" spans="1:3" ht="18" x14ac:dyDescent="0.2">
      <c r="A22" s="23"/>
      <c r="B22" s="16" t="s">
        <v>14</v>
      </c>
      <c r="C22" s="24"/>
    </row>
    <row r="23" spans="1:3" ht="18" x14ac:dyDescent="0.2">
      <c r="A23" s="25">
        <v>45078</v>
      </c>
      <c r="B23" s="16" t="s">
        <v>15</v>
      </c>
      <c r="C23" s="24"/>
    </row>
    <row r="24" spans="1:3" ht="18" x14ac:dyDescent="0.2">
      <c r="A24" s="23"/>
      <c r="B24" s="16" t="s">
        <v>5</v>
      </c>
      <c r="C24" s="26"/>
    </row>
    <row r="25" spans="1:3" ht="18" x14ac:dyDescent="0.2">
      <c r="A25" s="23"/>
      <c r="B25" s="16" t="s">
        <v>16</v>
      </c>
      <c r="C25" s="24"/>
    </row>
    <row r="26" spans="1:3" ht="18" x14ac:dyDescent="0.2">
      <c r="A26" s="23"/>
      <c r="B26" s="16" t="s">
        <v>17</v>
      </c>
      <c r="C26" s="26" t="s">
        <v>68</v>
      </c>
    </row>
    <row r="27" spans="1:3" ht="18" x14ac:dyDescent="0.2">
      <c r="A27" s="23"/>
      <c r="B27" s="16" t="s">
        <v>52</v>
      </c>
      <c r="C27" s="24"/>
    </row>
    <row r="28" spans="1:3" ht="18" x14ac:dyDescent="0.2">
      <c r="A28" s="23"/>
      <c r="B28" s="16" t="s">
        <v>55</v>
      </c>
      <c r="C28" s="24"/>
    </row>
    <row r="29" spans="1:3" ht="18" x14ac:dyDescent="0.2">
      <c r="A29" s="23"/>
      <c r="B29" s="16" t="s">
        <v>56</v>
      </c>
      <c r="C29" s="24"/>
    </row>
    <row r="30" spans="1:3" ht="18" x14ac:dyDescent="0.2">
      <c r="A30" s="23"/>
      <c r="B30" s="16" t="s">
        <v>62</v>
      </c>
      <c r="C30" s="24"/>
    </row>
    <row r="31" spans="1:3" ht="18" x14ac:dyDescent="0.2">
      <c r="A31" s="23"/>
      <c r="B31" s="16"/>
      <c r="C31" s="24"/>
    </row>
    <row r="32" spans="1:3" x14ac:dyDescent="0.2">
      <c r="A32" s="27"/>
      <c r="B32" s="28"/>
      <c r="C32" s="17"/>
    </row>
    <row r="33" spans="1:3" ht="18" x14ac:dyDescent="0.2">
      <c r="A33" s="21"/>
      <c r="B33" s="13" t="s">
        <v>18</v>
      </c>
      <c r="C33" s="22"/>
    </row>
    <row r="34" spans="1:3" ht="20.25" x14ac:dyDescent="0.2">
      <c r="A34" s="19">
        <v>45108</v>
      </c>
      <c r="B34" s="16" t="s">
        <v>19</v>
      </c>
      <c r="C34" s="26"/>
    </row>
    <row r="35" spans="1:3" ht="18" x14ac:dyDescent="0.2">
      <c r="A35" s="23"/>
      <c r="B35" s="16" t="s">
        <v>53</v>
      </c>
      <c r="C35" s="20"/>
    </row>
    <row r="36" spans="1:3" ht="18" x14ac:dyDescent="0.2">
      <c r="A36" s="23"/>
      <c r="B36" s="16" t="s">
        <v>51</v>
      </c>
      <c r="C36" s="24"/>
    </row>
    <row r="37" spans="1:3" ht="18" x14ac:dyDescent="0.2">
      <c r="A37" s="23"/>
      <c r="B37" s="16" t="s">
        <v>55</v>
      </c>
      <c r="C37" s="20" t="s">
        <v>74</v>
      </c>
    </row>
    <row r="38" spans="1:3" ht="18" x14ac:dyDescent="0.2">
      <c r="A38" s="23"/>
      <c r="B38" s="29" t="s">
        <v>56</v>
      </c>
      <c r="C38" s="24"/>
    </row>
    <row r="39" spans="1:3" ht="18" x14ac:dyDescent="0.2">
      <c r="A39" s="23"/>
      <c r="B39" s="30" t="s">
        <v>63</v>
      </c>
      <c r="C39" s="24"/>
    </row>
    <row r="40" spans="1:3" ht="18" x14ac:dyDescent="0.2">
      <c r="A40" s="23"/>
      <c r="B40" s="16"/>
      <c r="C40" s="24"/>
    </row>
    <row r="41" spans="1:3" ht="18" x14ac:dyDescent="0.2">
      <c r="A41" s="31"/>
      <c r="B41" s="32"/>
      <c r="C41" s="33"/>
    </row>
    <row r="42" spans="1:3" ht="18" x14ac:dyDescent="0.2">
      <c r="A42" s="34"/>
      <c r="B42" s="35"/>
      <c r="C42" s="24"/>
    </row>
    <row r="43" spans="1:3" ht="18" x14ac:dyDescent="0.2">
      <c r="A43" s="36"/>
      <c r="B43" s="16" t="s">
        <v>22</v>
      </c>
      <c r="C43" s="24"/>
    </row>
    <row r="44" spans="1:3" ht="18" x14ac:dyDescent="0.2">
      <c r="A44" s="37">
        <v>45139</v>
      </c>
      <c r="B44" s="16" t="s">
        <v>20</v>
      </c>
      <c r="C44" s="20"/>
    </row>
    <row r="45" spans="1:3" ht="18" x14ac:dyDescent="0.2">
      <c r="A45" s="36"/>
      <c r="B45" s="16" t="s">
        <v>21</v>
      </c>
      <c r="C45" s="24"/>
    </row>
    <row r="46" spans="1:3" ht="18" x14ac:dyDescent="0.2">
      <c r="A46" s="36"/>
      <c r="B46" s="16" t="s">
        <v>55</v>
      </c>
      <c r="C46" s="20" t="s">
        <v>75</v>
      </c>
    </row>
    <row r="47" spans="1:3" ht="18" x14ac:dyDescent="0.2">
      <c r="A47" s="36"/>
      <c r="B47" s="16" t="s">
        <v>56</v>
      </c>
      <c r="C47" s="24"/>
    </row>
    <row r="48" spans="1:3" ht="18" x14ac:dyDescent="0.2">
      <c r="A48" s="36"/>
      <c r="B48" s="16" t="s">
        <v>65</v>
      </c>
      <c r="C48" s="24"/>
    </row>
    <row r="49" spans="1:4" ht="18" x14ac:dyDescent="0.2">
      <c r="A49" s="36"/>
      <c r="B49" s="16"/>
      <c r="C49" s="24"/>
    </row>
    <row r="50" spans="1:4" ht="18" x14ac:dyDescent="0.2">
      <c r="A50" s="36"/>
      <c r="B50" s="16"/>
      <c r="C50" s="24"/>
    </row>
    <row r="51" spans="1:4" ht="18" x14ac:dyDescent="0.2">
      <c r="A51" s="38"/>
      <c r="B51" s="13" t="s">
        <v>23</v>
      </c>
      <c r="C51" s="22"/>
    </row>
    <row r="52" spans="1:4" ht="18" x14ac:dyDescent="0.2">
      <c r="A52" s="36"/>
      <c r="B52" s="16" t="s">
        <v>24</v>
      </c>
      <c r="C52" s="24"/>
    </row>
    <row r="53" spans="1:4" ht="18" x14ac:dyDescent="0.2">
      <c r="A53" s="36"/>
      <c r="B53" s="16" t="s">
        <v>25</v>
      </c>
      <c r="C53" s="24"/>
    </row>
    <row r="54" spans="1:4" ht="18" x14ac:dyDescent="0.2">
      <c r="A54" s="37">
        <v>45170</v>
      </c>
      <c r="B54" s="16" t="s">
        <v>77</v>
      </c>
      <c r="C54" s="20" t="s">
        <v>59</v>
      </c>
    </row>
    <row r="55" spans="1:4" ht="18" x14ac:dyDescent="0.2">
      <c r="A55" s="36"/>
      <c r="B55" s="16" t="s">
        <v>26</v>
      </c>
      <c r="C55" s="24"/>
    </row>
    <row r="56" spans="1:4" ht="18" x14ac:dyDescent="0.2">
      <c r="A56" s="36"/>
      <c r="B56" s="16" t="s">
        <v>55</v>
      </c>
      <c r="C56" s="24"/>
    </row>
    <row r="57" spans="1:4" ht="18" x14ac:dyDescent="0.2">
      <c r="A57" s="36"/>
      <c r="B57" s="16" t="s">
        <v>56</v>
      </c>
      <c r="C57" s="24"/>
    </row>
    <row r="58" spans="1:4" ht="18" x14ac:dyDescent="0.2">
      <c r="A58" s="36"/>
      <c r="B58" s="16" t="s">
        <v>27</v>
      </c>
      <c r="C58" s="24"/>
    </row>
    <row r="59" spans="1:4" ht="18" x14ac:dyDescent="0.2">
      <c r="A59" s="36"/>
      <c r="B59" s="16"/>
      <c r="C59" s="24"/>
    </row>
    <row r="60" spans="1:4" ht="18" x14ac:dyDescent="0.2">
      <c r="A60" s="21"/>
      <c r="B60" s="13" t="s">
        <v>78</v>
      </c>
      <c r="C60" s="39"/>
      <c r="D60" s="10"/>
    </row>
    <row r="61" spans="1:4" ht="18" x14ac:dyDescent="0.2">
      <c r="A61" s="23"/>
      <c r="B61" s="16" t="s">
        <v>28</v>
      </c>
      <c r="C61" s="40"/>
      <c r="D61" s="10"/>
    </row>
    <row r="62" spans="1:4" ht="18" x14ac:dyDescent="0.2">
      <c r="A62" s="25">
        <v>45200</v>
      </c>
      <c r="B62" s="16" t="s">
        <v>29</v>
      </c>
      <c r="C62" s="41"/>
      <c r="D62" s="10"/>
    </row>
    <row r="63" spans="1:4" ht="18" x14ac:dyDescent="0.2">
      <c r="A63" s="23"/>
      <c r="B63" s="16" t="s">
        <v>5</v>
      </c>
      <c r="C63" s="40"/>
      <c r="D63" s="10"/>
    </row>
    <row r="64" spans="1:4" ht="18" x14ac:dyDescent="0.2">
      <c r="A64" s="23"/>
      <c r="B64" s="16" t="s">
        <v>39</v>
      </c>
      <c r="C64" s="40"/>
      <c r="D64" s="10"/>
    </row>
    <row r="65" spans="1:4" ht="18" x14ac:dyDescent="0.2">
      <c r="A65" s="23"/>
      <c r="B65" s="16" t="s">
        <v>55</v>
      </c>
      <c r="C65" s="41" t="s">
        <v>69</v>
      </c>
      <c r="D65" s="10"/>
    </row>
    <row r="66" spans="1:4" ht="18" x14ac:dyDescent="0.2">
      <c r="A66" s="23"/>
      <c r="B66" s="16" t="s">
        <v>56</v>
      </c>
      <c r="C66" s="40"/>
      <c r="D66" s="10"/>
    </row>
    <row r="67" spans="1:4" ht="18" x14ac:dyDescent="0.2">
      <c r="A67" s="23"/>
      <c r="B67" s="16" t="s">
        <v>64</v>
      </c>
      <c r="C67" s="40"/>
      <c r="D67" s="10"/>
    </row>
    <row r="68" spans="1:4" ht="18" x14ac:dyDescent="0.2">
      <c r="A68" s="23"/>
      <c r="B68" s="16" t="s">
        <v>33</v>
      </c>
      <c r="C68" s="40"/>
      <c r="D68" s="10"/>
    </row>
    <row r="69" spans="1:4" ht="18" x14ac:dyDescent="0.2">
      <c r="A69" s="23"/>
      <c r="B69" s="16"/>
      <c r="C69" s="40"/>
      <c r="D69" s="10"/>
    </row>
    <row r="70" spans="1:4" ht="18" x14ac:dyDescent="0.2">
      <c r="A70" s="42"/>
      <c r="B70" s="13" t="s">
        <v>30</v>
      </c>
      <c r="C70" s="22"/>
    </row>
    <row r="71" spans="1:4" ht="18" x14ac:dyDescent="0.2">
      <c r="A71" s="27"/>
      <c r="B71" s="16" t="s">
        <v>31</v>
      </c>
      <c r="C71" s="24"/>
    </row>
    <row r="72" spans="1:4" ht="18" x14ac:dyDescent="0.2">
      <c r="A72" s="27"/>
      <c r="B72" s="16" t="s">
        <v>32</v>
      </c>
      <c r="C72" s="20"/>
    </row>
    <row r="73" spans="1:4" ht="18" x14ac:dyDescent="0.2">
      <c r="A73" s="25">
        <v>45231</v>
      </c>
      <c r="B73" s="16" t="s">
        <v>22</v>
      </c>
      <c r="C73" s="24"/>
    </row>
    <row r="74" spans="1:4" ht="18" x14ac:dyDescent="0.2">
      <c r="A74" s="27"/>
      <c r="B74" s="16" t="s">
        <v>33</v>
      </c>
      <c r="C74" s="20" t="s">
        <v>60</v>
      </c>
    </row>
    <row r="75" spans="1:4" ht="18" x14ac:dyDescent="0.2">
      <c r="A75" s="27"/>
      <c r="B75" s="16" t="s">
        <v>34</v>
      </c>
      <c r="C75" s="17"/>
    </row>
    <row r="76" spans="1:4" ht="18" x14ac:dyDescent="0.2">
      <c r="A76" s="27"/>
      <c r="B76" s="16" t="s">
        <v>55</v>
      </c>
      <c r="C76" s="17"/>
    </row>
    <row r="77" spans="1:4" ht="18" x14ac:dyDescent="0.2">
      <c r="A77" s="27"/>
      <c r="B77" s="16" t="s">
        <v>56</v>
      </c>
      <c r="C77" s="17"/>
    </row>
    <row r="78" spans="1:4" ht="18" x14ac:dyDescent="0.2">
      <c r="A78" s="27"/>
      <c r="B78" s="16" t="s">
        <v>33</v>
      </c>
      <c r="C78" s="17"/>
    </row>
    <row r="79" spans="1:4" x14ac:dyDescent="0.2">
      <c r="A79" s="27"/>
      <c r="B79" s="11"/>
      <c r="C79" s="17"/>
    </row>
    <row r="80" spans="1:4" x14ac:dyDescent="0.2">
      <c r="A80" s="43"/>
      <c r="B80" s="44"/>
      <c r="C80" s="45"/>
    </row>
    <row r="81" spans="1:3" ht="18" x14ac:dyDescent="0.2">
      <c r="A81" s="46"/>
      <c r="B81" s="47" t="s">
        <v>40</v>
      </c>
      <c r="C81" s="48"/>
    </row>
    <row r="82" spans="1:3" ht="18" x14ac:dyDescent="0.2">
      <c r="A82" s="49"/>
      <c r="B82" s="50" t="s">
        <v>41</v>
      </c>
      <c r="C82" s="51"/>
    </row>
    <row r="83" spans="1:3" ht="18" x14ac:dyDescent="0.2">
      <c r="A83" s="52" t="s">
        <v>35</v>
      </c>
      <c r="B83" s="50" t="s">
        <v>79</v>
      </c>
      <c r="C83" s="53" t="s">
        <v>61</v>
      </c>
    </row>
    <row r="84" spans="1:3" ht="18" x14ac:dyDescent="0.2">
      <c r="A84" s="49"/>
      <c r="B84" s="50" t="s">
        <v>42</v>
      </c>
      <c r="C84" s="51"/>
    </row>
    <row r="85" spans="1:3" ht="18" x14ac:dyDescent="0.2">
      <c r="A85" s="49"/>
      <c r="B85" s="16" t="s">
        <v>55</v>
      </c>
      <c r="C85" s="51"/>
    </row>
    <row r="86" spans="1:3" ht="18" x14ac:dyDescent="0.2">
      <c r="A86" s="54"/>
      <c r="B86" s="16" t="s">
        <v>56</v>
      </c>
      <c r="C86" s="55"/>
    </row>
    <row r="87" spans="1:3" ht="18" x14ac:dyDescent="0.2">
      <c r="A87" s="54"/>
      <c r="B87" s="16"/>
      <c r="C87" s="55"/>
    </row>
    <row r="88" spans="1:3" ht="18" x14ac:dyDescent="0.2">
      <c r="A88" s="46"/>
      <c r="B88" s="47"/>
      <c r="C88" s="48"/>
    </row>
    <row r="89" spans="1:3" ht="18" x14ac:dyDescent="0.2">
      <c r="A89" s="49"/>
      <c r="B89" s="50" t="s">
        <v>78</v>
      </c>
      <c r="C89" s="51"/>
    </row>
    <row r="90" spans="1:3" ht="18" x14ac:dyDescent="0.2">
      <c r="A90" s="49"/>
      <c r="B90" s="50" t="s">
        <v>43</v>
      </c>
      <c r="C90" s="51"/>
    </row>
    <row r="91" spans="1:3" ht="18" x14ac:dyDescent="0.2">
      <c r="A91" s="56">
        <v>45292</v>
      </c>
      <c r="B91" s="50" t="s">
        <v>44</v>
      </c>
      <c r="C91" s="53"/>
    </row>
    <row r="92" spans="1:3" ht="18" x14ac:dyDescent="0.2">
      <c r="A92" s="49"/>
      <c r="B92" s="50" t="s">
        <v>45</v>
      </c>
      <c r="C92" s="51"/>
    </row>
    <row r="93" spans="1:3" ht="18" x14ac:dyDescent="0.2">
      <c r="A93" s="49"/>
      <c r="B93" s="50" t="s">
        <v>5</v>
      </c>
      <c r="C93" s="53" t="s">
        <v>70</v>
      </c>
    </row>
    <row r="94" spans="1:3" ht="18" x14ac:dyDescent="0.2">
      <c r="A94" s="49"/>
      <c r="B94" s="16" t="s">
        <v>55</v>
      </c>
      <c r="C94" s="51"/>
    </row>
    <row r="95" spans="1:3" ht="18" x14ac:dyDescent="0.2">
      <c r="A95" s="54"/>
      <c r="B95" s="16" t="s">
        <v>56</v>
      </c>
      <c r="C95" s="55"/>
    </row>
    <row r="96" spans="1:3" ht="18" x14ac:dyDescent="0.2">
      <c r="A96" s="54"/>
      <c r="B96" s="16" t="s">
        <v>66</v>
      </c>
      <c r="C96" s="55"/>
    </row>
    <row r="97" spans="1:3" ht="18" x14ac:dyDescent="0.2">
      <c r="A97" s="54"/>
      <c r="B97" s="16"/>
      <c r="C97" s="55"/>
    </row>
    <row r="98" spans="1:3" ht="18" x14ac:dyDescent="0.2">
      <c r="A98" s="46"/>
      <c r="B98" s="47"/>
      <c r="C98" s="57"/>
    </row>
    <row r="99" spans="1:3" ht="18" x14ac:dyDescent="0.2">
      <c r="A99" s="49"/>
      <c r="B99" s="50" t="s">
        <v>46</v>
      </c>
      <c r="C99" s="58"/>
    </row>
    <row r="100" spans="1:3" ht="18" x14ac:dyDescent="0.2">
      <c r="A100" s="49"/>
      <c r="B100" s="50" t="s">
        <v>47</v>
      </c>
      <c r="C100" s="59"/>
    </row>
    <row r="101" spans="1:3" ht="18" x14ac:dyDescent="0.2">
      <c r="A101" s="56">
        <v>45323</v>
      </c>
      <c r="B101" s="50" t="s">
        <v>48</v>
      </c>
      <c r="C101" s="58"/>
    </row>
    <row r="102" spans="1:3" ht="18" x14ac:dyDescent="0.2">
      <c r="A102" s="49"/>
      <c r="B102" s="50" t="s">
        <v>5</v>
      </c>
      <c r="C102" s="59" t="s">
        <v>71</v>
      </c>
    </row>
    <row r="103" spans="1:3" ht="18" x14ac:dyDescent="0.2">
      <c r="A103" s="49"/>
      <c r="B103" s="16" t="s">
        <v>55</v>
      </c>
      <c r="C103" s="58"/>
    </row>
    <row r="104" spans="1:3" ht="18" x14ac:dyDescent="0.2">
      <c r="A104" s="54"/>
      <c r="B104" s="16" t="s">
        <v>56</v>
      </c>
      <c r="C104" s="60"/>
    </row>
    <row r="105" spans="1:3" ht="18" x14ac:dyDescent="0.2">
      <c r="A105" s="54"/>
      <c r="B105" s="16" t="s">
        <v>67</v>
      </c>
      <c r="C105" s="60"/>
    </row>
    <row r="106" spans="1:3" ht="18" x14ac:dyDescent="0.2">
      <c r="A106" s="54"/>
      <c r="B106" s="16"/>
      <c r="C106" s="60"/>
    </row>
    <row r="107" spans="1:3" ht="18" x14ac:dyDescent="0.2">
      <c r="A107" s="54"/>
      <c r="B107" s="16"/>
      <c r="C107" s="60"/>
    </row>
    <row r="108" spans="1:3" ht="18" x14ac:dyDescent="0.2">
      <c r="A108" s="46"/>
      <c r="B108" s="47"/>
      <c r="C108" s="57"/>
    </row>
    <row r="109" spans="1:3" ht="18" x14ac:dyDescent="0.2">
      <c r="A109" s="49"/>
      <c r="B109" s="50" t="s">
        <v>77</v>
      </c>
      <c r="C109" s="58"/>
    </row>
    <row r="110" spans="1:3" ht="18" x14ac:dyDescent="0.2">
      <c r="A110" s="49"/>
      <c r="B110" s="50" t="s">
        <v>49</v>
      </c>
      <c r="C110" s="59"/>
    </row>
    <row r="111" spans="1:3" ht="18" x14ac:dyDescent="0.2">
      <c r="A111" s="56">
        <v>45352</v>
      </c>
      <c r="B111" s="50" t="s">
        <v>50</v>
      </c>
      <c r="C111" s="58"/>
    </row>
    <row r="112" spans="1:3" ht="18" x14ac:dyDescent="0.2">
      <c r="A112" s="49"/>
      <c r="B112" s="50" t="s">
        <v>5</v>
      </c>
      <c r="C112" s="58"/>
    </row>
    <row r="113" spans="1:3" ht="18" x14ac:dyDescent="0.2">
      <c r="A113" s="49"/>
      <c r="B113" s="16" t="s">
        <v>55</v>
      </c>
      <c r="C113" s="59" t="s">
        <v>73</v>
      </c>
    </row>
    <row r="114" spans="1:3" ht="18" x14ac:dyDescent="0.2">
      <c r="A114" s="61"/>
      <c r="B114" s="16" t="s">
        <v>56</v>
      </c>
      <c r="C114" s="60"/>
    </row>
    <row r="115" spans="1:3" ht="18" x14ac:dyDescent="0.2">
      <c r="A115" s="61"/>
      <c r="B115" s="16" t="s">
        <v>72</v>
      </c>
      <c r="C115" s="60"/>
    </row>
    <row r="116" spans="1:3" ht="18" x14ac:dyDescent="0.2">
      <c r="A116" s="61"/>
      <c r="B116" s="16"/>
      <c r="C116" s="60"/>
    </row>
    <row r="117" spans="1:3" x14ac:dyDescent="0.2">
      <c r="B117" s="62"/>
      <c r="C117" s="63"/>
    </row>
    <row r="118" spans="1:3" ht="20.25" x14ac:dyDescent="0.2">
      <c r="B118" s="64" t="s">
        <v>54</v>
      </c>
      <c r="C118" s="65" t="s">
        <v>76</v>
      </c>
    </row>
    <row r="119" spans="1:3" x14ac:dyDescent="0.2">
      <c r="B119" s="66"/>
      <c r="C119" s="67"/>
    </row>
  </sheetData>
  <pageMargins left="0.7" right="0.7" top="0.75" bottom="0.75" header="0.3" footer="0.3"/>
  <pageSetup paperSize="9" scale="90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7"/>
  <sheetViews>
    <sheetView zoomScaleNormal="100" workbookViewId="0">
      <selection sqref="A1:C137"/>
    </sheetView>
  </sheetViews>
  <sheetFormatPr defaultColWidth="10" defaultRowHeight="14.25" x14ac:dyDescent="0.2"/>
  <cols>
    <col min="1" max="1" width="13.75" customWidth="1"/>
    <col min="2" max="2" width="46.375" customWidth="1"/>
    <col min="3" max="3" width="15.375" customWidth="1"/>
  </cols>
  <sheetData>
    <row r="1" spans="1:6" ht="18" x14ac:dyDescent="0.2">
      <c r="B1" s="118" t="s">
        <v>243</v>
      </c>
    </row>
    <row r="2" spans="1:6" ht="15.75" thickBot="1" x14ac:dyDescent="0.25">
      <c r="B2" s="117"/>
    </row>
    <row r="3" spans="1:6" ht="19.5" thickTop="1" thickBot="1" x14ac:dyDescent="0.25">
      <c r="A3" s="77" t="s">
        <v>1</v>
      </c>
      <c r="B3" s="78" t="s">
        <v>2</v>
      </c>
      <c r="C3" s="90" t="s">
        <v>3</v>
      </c>
    </row>
    <row r="4" spans="1:6" ht="18" x14ac:dyDescent="0.2">
      <c r="A4" s="85"/>
      <c r="B4" s="94" t="s">
        <v>240</v>
      </c>
      <c r="C4" s="85"/>
    </row>
    <row r="5" spans="1:6" ht="18" x14ac:dyDescent="0.2">
      <c r="A5" s="79"/>
      <c r="B5" s="83" t="s">
        <v>158</v>
      </c>
      <c r="C5" s="79"/>
    </row>
    <row r="6" spans="1:6" ht="18" x14ac:dyDescent="0.2">
      <c r="A6" s="79"/>
      <c r="B6" s="83" t="s">
        <v>159</v>
      </c>
      <c r="C6" s="80" t="s">
        <v>242</v>
      </c>
    </row>
    <row r="7" spans="1:6" ht="21.95" customHeight="1" x14ac:dyDescent="0.2">
      <c r="A7" s="86">
        <v>45383</v>
      </c>
      <c r="B7" s="83" t="s">
        <v>45</v>
      </c>
      <c r="C7" s="81" t="s">
        <v>0</v>
      </c>
    </row>
    <row r="8" spans="1:6" ht="21.95" customHeight="1" x14ac:dyDescent="0.2">
      <c r="A8" s="86"/>
      <c r="B8" s="83" t="s">
        <v>241</v>
      </c>
      <c r="C8" s="81"/>
    </row>
    <row r="9" spans="1:6" ht="21.95" customHeight="1" x14ac:dyDescent="0.2">
      <c r="A9" s="86"/>
      <c r="B9" s="83" t="s">
        <v>160</v>
      </c>
      <c r="C9" s="81"/>
    </row>
    <row r="10" spans="1:6" ht="20.25" x14ac:dyDescent="0.2">
      <c r="A10" s="86"/>
      <c r="B10" s="83" t="s">
        <v>172</v>
      </c>
      <c r="C10" s="81"/>
    </row>
    <row r="11" spans="1:6" ht="18" x14ac:dyDescent="0.2">
      <c r="A11" s="79"/>
      <c r="B11" s="83" t="s">
        <v>6</v>
      </c>
      <c r="C11" s="79"/>
    </row>
    <row r="12" spans="1:6" ht="18" x14ac:dyDescent="0.2">
      <c r="A12" s="79"/>
      <c r="B12" s="83" t="s">
        <v>161</v>
      </c>
      <c r="C12" s="79"/>
    </row>
    <row r="13" spans="1:6" ht="18.75" thickBot="1" x14ac:dyDescent="0.25">
      <c r="A13" s="99"/>
      <c r="B13" s="84" t="s">
        <v>162</v>
      </c>
      <c r="C13" s="87"/>
    </row>
    <row r="14" spans="1:6" ht="18" x14ac:dyDescent="0.2">
      <c r="A14" s="88"/>
      <c r="B14" s="94" t="s">
        <v>167</v>
      </c>
      <c r="C14" s="100"/>
    </row>
    <row r="15" spans="1:6" ht="18" x14ac:dyDescent="0.2">
      <c r="A15" s="101"/>
      <c r="B15" s="83" t="s">
        <v>163</v>
      </c>
      <c r="C15" s="92"/>
      <c r="D15" s="10"/>
      <c r="E15" s="18"/>
      <c r="F15" s="18"/>
    </row>
    <row r="16" spans="1:6" ht="20.25" x14ac:dyDescent="0.2">
      <c r="A16" s="89">
        <v>45413</v>
      </c>
      <c r="B16" s="83" t="s">
        <v>168</v>
      </c>
      <c r="C16" s="91" t="s">
        <v>58</v>
      </c>
      <c r="D16" s="10"/>
      <c r="E16" s="18"/>
      <c r="F16" s="18"/>
    </row>
    <row r="17" spans="1:3" ht="18" x14ac:dyDescent="0.2">
      <c r="A17" s="101"/>
      <c r="B17" s="83" t="s">
        <v>164</v>
      </c>
      <c r="C17" s="92"/>
    </row>
    <row r="18" spans="1:3" ht="18" x14ac:dyDescent="0.2">
      <c r="A18" s="101"/>
      <c r="B18" s="83" t="s">
        <v>175</v>
      </c>
      <c r="C18" s="92"/>
    </row>
    <row r="19" spans="1:3" ht="18" x14ac:dyDescent="0.2">
      <c r="A19" s="101"/>
      <c r="B19" s="83" t="s">
        <v>169</v>
      </c>
      <c r="C19" s="92"/>
    </row>
    <row r="20" spans="1:3" ht="18" x14ac:dyDescent="0.2">
      <c r="A20" s="101"/>
      <c r="B20" s="83" t="s">
        <v>165</v>
      </c>
      <c r="C20" s="92"/>
    </row>
    <row r="21" spans="1:3" ht="18" x14ac:dyDescent="0.2">
      <c r="A21" s="101"/>
      <c r="B21" s="83" t="s">
        <v>166</v>
      </c>
      <c r="C21" s="92"/>
    </row>
    <row r="22" spans="1:3" ht="18.75" thickBot="1" x14ac:dyDescent="0.25">
      <c r="A22" s="97"/>
      <c r="B22" s="84" t="s">
        <v>173</v>
      </c>
      <c r="C22" s="92"/>
    </row>
    <row r="23" spans="1:3" ht="18" x14ac:dyDescent="0.2">
      <c r="A23" s="93"/>
      <c r="B23" s="94" t="s">
        <v>174</v>
      </c>
      <c r="C23" s="93"/>
    </row>
    <row r="24" spans="1:3" ht="18" x14ac:dyDescent="0.2">
      <c r="A24" s="83"/>
      <c r="B24" s="83" t="s">
        <v>179</v>
      </c>
      <c r="C24" s="83"/>
    </row>
    <row r="25" spans="1:3" ht="18" x14ac:dyDescent="0.2">
      <c r="A25" s="83"/>
      <c r="B25" s="83" t="s">
        <v>171</v>
      </c>
      <c r="C25" s="83"/>
    </row>
    <row r="26" spans="1:3" ht="18" x14ac:dyDescent="0.2">
      <c r="A26" s="103">
        <v>45444</v>
      </c>
      <c r="B26" s="83" t="s">
        <v>170</v>
      </c>
      <c r="C26" s="83"/>
    </row>
    <row r="27" spans="1:3" ht="18" x14ac:dyDescent="0.2">
      <c r="A27" s="83"/>
      <c r="B27" s="83" t="s">
        <v>177</v>
      </c>
      <c r="C27" s="104"/>
    </row>
    <row r="28" spans="1:3" ht="18" x14ac:dyDescent="0.2">
      <c r="A28" s="83"/>
      <c r="B28" s="83" t="s">
        <v>176</v>
      </c>
      <c r="C28" s="83"/>
    </row>
    <row r="29" spans="1:3" ht="18" x14ac:dyDescent="0.2">
      <c r="A29" s="83"/>
      <c r="B29" s="83" t="s">
        <v>178</v>
      </c>
      <c r="C29" s="104" t="s">
        <v>68</v>
      </c>
    </row>
    <row r="30" spans="1:3" ht="18" x14ac:dyDescent="0.2">
      <c r="A30" s="83"/>
      <c r="B30" s="83" t="s">
        <v>176</v>
      </c>
      <c r="C30" s="83"/>
    </row>
    <row r="31" spans="1:3" ht="16.5" thickBot="1" x14ac:dyDescent="0.25">
      <c r="A31" s="82"/>
      <c r="B31" s="106" t="s">
        <v>180</v>
      </c>
      <c r="C31" s="82"/>
    </row>
    <row r="32" spans="1:3" ht="18" x14ac:dyDescent="0.2">
      <c r="A32" s="95"/>
      <c r="B32" s="112" t="s">
        <v>188</v>
      </c>
      <c r="C32" s="108"/>
    </row>
    <row r="33" spans="1:3" ht="20.25" x14ac:dyDescent="0.2">
      <c r="A33" s="89">
        <v>45474</v>
      </c>
      <c r="B33" s="107" t="s">
        <v>189</v>
      </c>
      <c r="C33" s="109"/>
    </row>
    <row r="34" spans="1:3" ht="18" x14ac:dyDescent="0.2">
      <c r="A34" s="96"/>
      <c r="B34" s="107" t="s">
        <v>187</v>
      </c>
      <c r="C34" s="91"/>
    </row>
    <row r="35" spans="1:3" ht="18" x14ac:dyDescent="0.2">
      <c r="A35" s="96"/>
      <c r="B35" s="107" t="s">
        <v>181</v>
      </c>
      <c r="C35" s="91"/>
    </row>
    <row r="36" spans="1:3" ht="18" x14ac:dyDescent="0.2">
      <c r="A36" s="96"/>
      <c r="B36" s="107" t="s">
        <v>182</v>
      </c>
      <c r="C36" s="91"/>
    </row>
    <row r="37" spans="1:3" ht="18" x14ac:dyDescent="0.2">
      <c r="A37" s="96"/>
      <c r="B37" s="107" t="s">
        <v>183</v>
      </c>
      <c r="C37" s="91"/>
    </row>
    <row r="38" spans="1:3" ht="18" x14ac:dyDescent="0.2">
      <c r="A38" s="96"/>
      <c r="B38" s="107" t="s">
        <v>184</v>
      </c>
      <c r="C38" s="102"/>
    </row>
    <row r="39" spans="1:3" ht="18" x14ac:dyDescent="0.2">
      <c r="A39" s="96"/>
      <c r="B39" s="107" t="s">
        <v>185</v>
      </c>
      <c r="C39" s="91" t="s">
        <v>74</v>
      </c>
    </row>
    <row r="40" spans="1:3" ht="18.75" thickBot="1" x14ac:dyDescent="0.25">
      <c r="A40" s="110"/>
      <c r="B40" s="107" t="s">
        <v>186</v>
      </c>
      <c r="C40" s="98"/>
    </row>
    <row r="41" spans="1:3" ht="18" x14ac:dyDescent="0.2">
      <c r="A41" s="113"/>
      <c r="B41" s="112" t="s">
        <v>199</v>
      </c>
      <c r="C41" s="40"/>
    </row>
    <row r="42" spans="1:3" ht="18" x14ac:dyDescent="0.2">
      <c r="A42" s="83"/>
      <c r="B42" s="107" t="s">
        <v>196</v>
      </c>
      <c r="C42" s="40"/>
    </row>
    <row r="43" spans="1:3" ht="18" x14ac:dyDescent="0.2">
      <c r="A43" s="103">
        <v>45505</v>
      </c>
      <c r="B43" s="107" t="s">
        <v>190</v>
      </c>
      <c r="C43" s="20"/>
    </row>
    <row r="44" spans="1:3" ht="18" x14ac:dyDescent="0.2">
      <c r="A44" s="103"/>
      <c r="B44" s="107" t="s">
        <v>184</v>
      </c>
      <c r="C44" s="20"/>
    </row>
    <row r="45" spans="1:3" ht="18" x14ac:dyDescent="0.2">
      <c r="A45" s="103"/>
      <c r="B45" s="107" t="s">
        <v>193</v>
      </c>
      <c r="C45" s="20"/>
    </row>
    <row r="46" spans="1:3" ht="18" x14ac:dyDescent="0.2">
      <c r="A46" s="103"/>
      <c r="B46" s="107" t="s">
        <v>194</v>
      </c>
      <c r="C46" s="20"/>
    </row>
    <row r="47" spans="1:3" ht="18" x14ac:dyDescent="0.2">
      <c r="A47" s="83"/>
      <c r="B47" s="107" t="s">
        <v>192</v>
      </c>
      <c r="C47" s="40"/>
    </row>
    <row r="48" spans="1:3" ht="18" x14ac:dyDescent="0.2">
      <c r="A48" s="83"/>
      <c r="B48" s="107" t="s">
        <v>195</v>
      </c>
      <c r="C48" s="20" t="s">
        <v>75</v>
      </c>
    </row>
    <row r="49" spans="1:4" ht="18" x14ac:dyDescent="0.2">
      <c r="A49" s="83"/>
      <c r="B49" s="107" t="s">
        <v>191</v>
      </c>
      <c r="C49" s="40"/>
    </row>
    <row r="50" spans="1:4" ht="18" x14ac:dyDescent="0.2">
      <c r="A50" s="83"/>
      <c r="B50" s="107" t="s">
        <v>197</v>
      </c>
      <c r="C50" s="40"/>
    </row>
    <row r="51" spans="1:4" ht="18" x14ac:dyDescent="0.2">
      <c r="A51" s="83"/>
      <c r="B51" s="107" t="s">
        <v>198</v>
      </c>
      <c r="C51" s="40"/>
    </row>
    <row r="52" spans="1:4" ht="18.75" thickBot="1" x14ac:dyDescent="0.25">
      <c r="A52" s="84"/>
      <c r="B52" s="111" t="s">
        <v>200</v>
      </c>
      <c r="C52" s="40"/>
    </row>
    <row r="53" spans="1:4" ht="18.75" thickTop="1" x14ac:dyDescent="0.2">
      <c r="A53" s="36"/>
      <c r="B53" s="105" t="s">
        <v>201</v>
      </c>
      <c r="C53" s="39"/>
    </row>
    <row r="54" spans="1:4" ht="18" x14ac:dyDescent="0.2">
      <c r="A54" s="36"/>
      <c r="B54" s="105" t="s">
        <v>202</v>
      </c>
      <c r="C54" s="40"/>
    </row>
    <row r="55" spans="1:4" ht="18" x14ac:dyDescent="0.2">
      <c r="A55" s="36"/>
      <c r="B55" s="107" t="s">
        <v>204</v>
      </c>
      <c r="C55" s="40"/>
    </row>
    <row r="56" spans="1:4" ht="20.25" customHeight="1" x14ac:dyDescent="0.2">
      <c r="A56" s="37">
        <v>45536</v>
      </c>
      <c r="B56" s="105" t="s">
        <v>205</v>
      </c>
      <c r="C56" s="20" t="s">
        <v>59</v>
      </c>
    </row>
    <row r="57" spans="1:4" ht="18" x14ac:dyDescent="0.2">
      <c r="A57" s="36"/>
      <c r="B57" s="30" t="s">
        <v>55</v>
      </c>
      <c r="C57" s="40"/>
    </row>
    <row r="58" spans="1:4" ht="18" x14ac:dyDescent="0.2">
      <c r="A58" s="36"/>
      <c r="B58" s="30" t="s">
        <v>56</v>
      </c>
      <c r="C58" s="40"/>
    </row>
    <row r="59" spans="1:4" ht="18" x14ac:dyDescent="0.2">
      <c r="A59" s="36"/>
      <c r="B59" s="107" t="s">
        <v>192</v>
      </c>
      <c r="C59" s="40"/>
    </row>
    <row r="60" spans="1:4" ht="18" x14ac:dyDescent="0.2">
      <c r="A60" s="36"/>
      <c r="B60" s="107" t="s">
        <v>203</v>
      </c>
      <c r="C60" s="40"/>
    </row>
    <row r="61" spans="1:4" ht="18.75" thickBot="1" x14ac:dyDescent="0.25">
      <c r="A61" s="36"/>
      <c r="B61" s="107" t="s">
        <v>184</v>
      </c>
      <c r="C61" s="40"/>
    </row>
    <row r="62" spans="1:4" ht="18.75" thickTop="1" x14ac:dyDescent="0.2">
      <c r="A62" s="38"/>
      <c r="B62" s="114" t="s">
        <v>206</v>
      </c>
      <c r="C62" s="39"/>
      <c r="D62" s="10"/>
    </row>
    <row r="63" spans="1:4" ht="18" x14ac:dyDescent="0.2">
      <c r="A63" s="36"/>
      <c r="B63" s="105" t="s">
        <v>207</v>
      </c>
      <c r="C63" s="40"/>
      <c r="D63" s="10"/>
    </row>
    <row r="64" spans="1:4" ht="18" x14ac:dyDescent="0.2">
      <c r="A64" s="37">
        <v>45566</v>
      </c>
      <c r="B64" s="105" t="s">
        <v>208</v>
      </c>
      <c r="C64" s="41"/>
      <c r="D64" s="10"/>
    </row>
    <row r="65" spans="1:4" ht="18" x14ac:dyDescent="0.2">
      <c r="A65" s="36"/>
      <c r="B65" s="105" t="s">
        <v>209</v>
      </c>
      <c r="C65" s="40"/>
      <c r="D65" s="10"/>
    </row>
    <row r="66" spans="1:4" ht="18" x14ac:dyDescent="0.2">
      <c r="A66" s="36"/>
      <c r="B66" s="105" t="s">
        <v>210</v>
      </c>
      <c r="C66" s="40"/>
      <c r="D66" s="10"/>
    </row>
    <row r="67" spans="1:4" ht="18" x14ac:dyDescent="0.2">
      <c r="A67" s="36"/>
      <c r="B67" s="30" t="s">
        <v>55</v>
      </c>
      <c r="C67" s="41" t="s">
        <v>69</v>
      </c>
      <c r="D67" s="10"/>
    </row>
    <row r="68" spans="1:4" ht="18" x14ac:dyDescent="0.2">
      <c r="A68" s="36"/>
      <c r="B68" s="30" t="s">
        <v>56</v>
      </c>
      <c r="C68" s="40"/>
      <c r="D68" s="10"/>
    </row>
    <row r="69" spans="1:4" ht="18" x14ac:dyDescent="0.2">
      <c r="A69" s="36"/>
      <c r="B69" s="105" t="s">
        <v>211</v>
      </c>
      <c r="C69" s="40"/>
      <c r="D69" s="10"/>
    </row>
    <row r="70" spans="1:4" ht="18" x14ac:dyDescent="0.2">
      <c r="A70" s="36"/>
      <c r="B70" s="107"/>
      <c r="C70" s="40"/>
      <c r="D70" s="10"/>
    </row>
    <row r="71" spans="1:4" ht="18.75" thickBot="1" x14ac:dyDescent="0.25">
      <c r="A71" s="36"/>
      <c r="B71" s="105"/>
      <c r="C71" s="40"/>
      <c r="D71" s="10"/>
    </row>
    <row r="72" spans="1:4" ht="18.75" thickTop="1" x14ac:dyDescent="0.2">
      <c r="A72" s="42"/>
      <c r="B72" s="114" t="s">
        <v>217</v>
      </c>
      <c r="C72" s="39"/>
    </row>
    <row r="73" spans="1:4" ht="18" x14ac:dyDescent="0.2">
      <c r="A73" s="43"/>
      <c r="B73" s="105" t="s">
        <v>212</v>
      </c>
      <c r="C73" s="40"/>
    </row>
    <row r="74" spans="1:4" ht="18" x14ac:dyDescent="0.2">
      <c r="A74" s="43"/>
      <c r="B74" s="105" t="s">
        <v>213</v>
      </c>
      <c r="C74" s="20"/>
    </row>
    <row r="75" spans="1:4" ht="18" x14ac:dyDescent="0.2">
      <c r="A75" s="37">
        <v>45597</v>
      </c>
      <c r="B75" s="105" t="s">
        <v>214</v>
      </c>
      <c r="C75" s="40"/>
    </row>
    <row r="76" spans="1:4" ht="18" x14ac:dyDescent="0.2">
      <c r="A76" s="43"/>
      <c r="B76" s="105" t="s">
        <v>215</v>
      </c>
      <c r="C76" s="20" t="s">
        <v>60</v>
      </c>
    </row>
    <row r="77" spans="1:4" ht="18" x14ac:dyDescent="0.2">
      <c r="A77" s="43"/>
      <c r="B77" s="107" t="s">
        <v>192</v>
      </c>
      <c r="C77" s="45"/>
    </row>
    <row r="78" spans="1:4" ht="18" x14ac:dyDescent="0.2">
      <c r="A78" s="43"/>
      <c r="B78" s="30" t="s">
        <v>55</v>
      </c>
      <c r="C78" s="45"/>
    </row>
    <row r="79" spans="1:4" ht="18" x14ac:dyDescent="0.2">
      <c r="A79" s="43"/>
      <c r="B79" s="30" t="s">
        <v>56</v>
      </c>
      <c r="C79" s="45"/>
    </row>
    <row r="80" spans="1:4" ht="18" x14ac:dyDescent="0.2">
      <c r="A80" s="43"/>
      <c r="B80" s="107" t="s">
        <v>184</v>
      </c>
      <c r="C80" s="45"/>
    </row>
    <row r="81" spans="1:3" ht="18" x14ac:dyDescent="0.2">
      <c r="A81" s="43"/>
      <c r="B81" s="105" t="s">
        <v>216</v>
      </c>
      <c r="C81" s="45"/>
    </row>
    <row r="82" spans="1:3" ht="15" thickBot="1" x14ac:dyDescent="0.25">
      <c r="A82" s="43"/>
      <c r="B82" s="44"/>
      <c r="C82" s="45"/>
    </row>
    <row r="83" spans="1:3" ht="18.75" thickTop="1" x14ac:dyDescent="0.2">
      <c r="A83" s="46"/>
      <c r="B83" s="47"/>
      <c r="C83" s="57"/>
    </row>
    <row r="84" spans="1:3" ht="18" x14ac:dyDescent="0.2">
      <c r="A84" s="54"/>
      <c r="B84" s="105" t="s">
        <v>221</v>
      </c>
      <c r="C84" s="60"/>
    </row>
    <row r="85" spans="1:3" ht="18" x14ac:dyDescent="0.2">
      <c r="A85" s="116">
        <v>45627</v>
      </c>
      <c r="B85" s="50" t="s">
        <v>79</v>
      </c>
      <c r="C85" s="59" t="s">
        <v>61</v>
      </c>
    </row>
    <row r="86" spans="1:3" ht="18" x14ac:dyDescent="0.2">
      <c r="A86" s="115"/>
      <c r="B86" s="105" t="s">
        <v>220</v>
      </c>
      <c r="C86" s="59"/>
    </row>
    <row r="87" spans="1:3" ht="18" x14ac:dyDescent="0.2">
      <c r="A87" s="115"/>
      <c r="B87" s="105" t="s">
        <v>219</v>
      </c>
      <c r="C87" s="59"/>
    </row>
    <row r="88" spans="1:3" ht="18" x14ac:dyDescent="0.2">
      <c r="A88" s="115"/>
      <c r="B88" s="105" t="s">
        <v>218</v>
      </c>
      <c r="C88" s="59"/>
    </row>
    <row r="89" spans="1:3" ht="18" x14ac:dyDescent="0.2">
      <c r="A89" s="115"/>
      <c r="B89" s="107" t="s">
        <v>192</v>
      </c>
      <c r="C89" s="59"/>
    </row>
    <row r="90" spans="1:3" ht="18" x14ac:dyDescent="0.2">
      <c r="A90" s="115"/>
      <c r="B90" s="107" t="s">
        <v>184</v>
      </c>
      <c r="C90" s="59"/>
    </row>
    <row r="91" spans="1:3" ht="18" x14ac:dyDescent="0.2">
      <c r="A91" s="54"/>
      <c r="B91" s="105" t="s">
        <v>44</v>
      </c>
      <c r="C91" s="60"/>
    </row>
    <row r="92" spans="1:3" ht="18" x14ac:dyDescent="0.2">
      <c r="A92" s="54"/>
      <c r="B92" s="30" t="s">
        <v>55</v>
      </c>
      <c r="C92" s="60"/>
    </row>
    <row r="93" spans="1:3" ht="18" x14ac:dyDescent="0.2">
      <c r="A93" s="54"/>
      <c r="B93" s="30" t="s">
        <v>56</v>
      </c>
      <c r="C93" s="60"/>
    </row>
    <row r="94" spans="1:3" ht="18.75" thickBot="1" x14ac:dyDescent="0.25">
      <c r="A94" s="54"/>
      <c r="B94" s="30"/>
      <c r="C94" s="60"/>
    </row>
    <row r="95" spans="1:3" ht="18.75" thickTop="1" x14ac:dyDescent="0.2">
      <c r="A95" s="46"/>
      <c r="B95" s="47"/>
      <c r="C95" s="57"/>
    </row>
    <row r="96" spans="1:3" ht="18" x14ac:dyDescent="0.2">
      <c r="A96" s="54"/>
      <c r="B96" s="105" t="s">
        <v>222</v>
      </c>
      <c r="C96" s="60"/>
    </row>
    <row r="97" spans="1:3" ht="18" x14ac:dyDescent="0.2">
      <c r="A97" s="54"/>
      <c r="B97" s="105" t="s">
        <v>223</v>
      </c>
      <c r="C97" s="60"/>
    </row>
    <row r="98" spans="1:3" ht="18" x14ac:dyDescent="0.2">
      <c r="A98" s="56">
        <v>45658</v>
      </c>
      <c r="B98" s="105" t="s">
        <v>42</v>
      </c>
      <c r="C98" s="59"/>
    </row>
    <row r="99" spans="1:3" ht="18" x14ac:dyDescent="0.2">
      <c r="A99" s="56"/>
      <c r="B99" s="107" t="s">
        <v>224</v>
      </c>
      <c r="C99" s="59"/>
    </row>
    <row r="100" spans="1:3" ht="18" x14ac:dyDescent="0.2">
      <c r="A100" s="56"/>
      <c r="B100" s="105" t="s">
        <v>225</v>
      </c>
      <c r="C100" s="59"/>
    </row>
    <row r="101" spans="1:3" ht="18" x14ac:dyDescent="0.2">
      <c r="A101" s="56"/>
      <c r="B101" s="107" t="s">
        <v>192</v>
      </c>
      <c r="C101" s="59"/>
    </row>
    <row r="102" spans="1:3" ht="18" x14ac:dyDescent="0.2">
      <c r="A102" s="56"/>
      <c r="B102" s="107" t="s">
        <v>184</v>
      </c>
      <c r="C102" s="59"/>
    </row>
    <row r="103" spans="1:3" ht="18" x14ac:dyDescent="0.2">
      <c r="A103" s="54"/>
      <c r="B103" s="105" t="s">
        <v>226</v>
      </c>
      <c r="C103" s="60"/>
    </row>
    <row r="104" spans="1:3" ht="18" x14ac:dyDescent="0.2">
      <c r="A104" s="54"/>
      <c r="B104" s="105" t="s">
        <v>227</v>
      </c>
      <c r="C104" s="59" t="s">
        <v>70</v>
      </c>
    </row>
    <row r="105" spans="1:3" ht="18" x14ac:dyDescent="0.2">
      <c r="A105" s="54"/>
      <c r="B105" s="30" t="s">
        <v>55</v>
      </c>
      <c r="C105" s="60"/>
    </row>
    <row r="106" spans="1:3" ht="18" x14ac:dyDescent="0.2">
      <c r="A106" s="54"/>
      <c r="B106" s="30" t="s">
        <v>56</v>
      </c>
      <c r="C106" s="60"/>
    </row>
    <row r="107" spans="1:3" ht="18" x14ac:dyDescent="0.2">
      <c r="A107" s="54"/>
      <c r="B107" s="30"/>
      <c r="C107" s="60"/>
    </row>
    <row r="108" spans="1:3" ht="18.75" thickBot="1" x14ac:dyDescent="0.25">
      <c r="A108" s="54"/>
      <c r="B108" s="30"/>
      <c r="C108" s="60"/>
    </row>
    <row r="109" spans="1:3" ht="18.75" thickTop="1" x14ac:dyDescent="0.2">
      <c r="A109" s="46"/>
      <c r="B109" s="114" t="s">
        <v>235</v>
      </c>
      <c r="C109" s="57"/>
    </row>
    <row r="110" spans="1:3" ht="18" x14ac:dyDescent="0.2">
      <c r="A110" s="54"/>
      <c r="B110" s="105" t="s">
        <v>228</v>
      </c>
      <c r="C110" s="59"/>
    </row>
    <row r="111" spans="1:3" ht="18" x14ac:dyDescent="0.2">
      <c r="A111" s="56">
        <v>45689</v>
      </c>
      <c r="B111" s="105" t="s">
        <v>229</v>
      </c>
      <c r="C111" s="60"/>
    </row>
    <row r="112" spans="1:3" ht="18" x14ac:dyDescent="0.2">
      <c r="A112" s="56"/>
      <c r="B112" s="105" t="s">
        <v>230</v>
      </c>
      <c r="C112" s="60"/>
    </row>
    <row r="113" spans="1:3" ht="18" x14ac:dyDescent="0.2">
      <c r="A113" s="56"/>
      <c r="B113" s="105" t="s">
        <v>33</v>
      </c>
      <c r="C113" s="60"/>
    </row>
    <row r="114" spans="1:3" ht="18" x14ac:dyDescent="0.2">
      <c r="A114" s="56"/>
      <c r="B114" s="105" t="s">
        <v>233</v>
      </c>
      <c r="C114" s="60"/>
    </row>
    <row r="115" spans="1:3" ht="18" x14ac:dyDescent="0.2">
      <c r="A115" s="56"/>
      <c r="B115" s="105" t="s">
        <v>232</v>
      </c>
      <c r="C115" s="60"/>
    </row>
    <row r="116" spans="1:3" ht="18" x14ac:dyDescent="0.2">
      <c r="A116" s="56"/>
      <c r="B116" s="105" t="s">
        <v>231</v>
      </c>
      <c r="C116" s="60"/>
    </row>
    <row r="117" spans="1:3" ht="18" x14ac:dyDescent="0.2">
      <c r="A117" s="56"/>
      <c r="B117" s="107" t="s">
        <v>192</v>
      </c>
      <c r="C117" s="60"/>
    </row>
    <row r="118" spans="1:3" ht="18" x14ac:dyDescent="0.2">
      <c r="A118" s="56"/>
      <c r="B118" s="107" t="s">
        <v>184</v>
      </c>
      <c r="C118" s="60"/>
    </row>
    <row r="119" spans="1:3" ht="18" x14ac:dyDescent="0.2">
      <c r="A119" s="56"/>
      <c r="B119" s="105" t="s">
        <v>234</v>
      </c>
      <c r="C119" s="60"/>
    </row>
    <row r="120" spans="1:3" ht="18" x14ac:dyDescent="0.2">
      <c r="A120" s="54"/>
      <c r="B120" s="50" t="s">
        <v>5</v>
      </c>
      <c r="C120" s="59" t="s">
        <v>71</v>
      </c>
    </row>
    <row r="121" spans="1:3" ht="18" x14ac:dyDescent="0.2">
      <c r="A121" s="54"/>
      <c r="B121" s="30" t="s">
        <v>55</v>
      </c>
      <c r="C121" s="60"/>
    </row>
    <row r="122" spans="1:3" ht="18" x14ac:dyDescent="0.2">
      <c r="A122" s="54"/>
      <c r="B122" s="30" t="s">
        <v>56</v>
      </c>
      <c r="C122" s="60"/>
    </row>
    <row r="123" spans="1:3" ht="18.75" thickBot="1" x14ac:dyDescent="0.25">
      <c r="A123" s="54"/>
      <c r="B123" s="30"/>
      <c r="C123" s="60"/>
    </row>
    <row r="124" spans="1:3" ht="18.75" thickTop="1" x14ac:dyDescent="0.2">
      <c r="A124" s="171">
        <v>45717</v>
      </c>
      <c r="B124" s="112" t="s">
        <v>236</v>
      </c>
      <c r="C124" s="57"/>
    </row>
    <row r="125" spans="1:3" ht="18" x14ac:dyDescent="0.2">
      <c r="A125" s="172"/>
      <c r="B125" s="107" t="s">
        <v>237</v>
      </c>
      <c r="C125" s="60"/>
    </row>
    <row r="126" spans="1:3" ht="18" x14ac:dyDescent="0.2">
      <c r="A126" s="172"/>
      <c r="B126" s="107" t="s">
        <v>41</v>
      </c>
      <c r="C126" s="59"/>
    </row>
    <row r="127" spans="1:3" ht="18" x14ac:dyDescent="0.2">
      <c r="A127" s="172"/>
      <c r="B127" s="107" t="s">
        <v>238</v>
      </c>
      <c r="C127" s="60"/>
    </row>
    <row r="128" spans="1:3" ht="18" x14ac:dyDescent="0.2">
      <c r="A128" s="172"/>
      <c r="B128" s="107" t="s">
        <v>239</v>
      </c>
      <c r="C128" s="60"/>
    </row>
    <row r="129" spans="1:3" ht="18" x14ac:dyDescent="0.2">
      <c r="A129" s="172"/>
      <c r="B129" s="107" t="s">
        <v>192</v>
      </c>
      <c r="C129" s="60"/>
    </row>
    <row r="130" spans="1:3" ht="18" x14ac:dyDescent="0.2">
      <c r="A130" s="172"/>
      <c r="B130" s="107" t="s">
        <v>184</v>
      </c>
      <c r="C130" s="60"/>
    </row>
    <row r="131" spans="1:3" ht="18" x14ac:dyDescent="0.2">
      <c r="A131" s="172"/>
      <c r="B131" s="83" t="s">
        <v>55</v>
      </c>
      <c r="C131" s="59" t="s">
        <v>73</v>
      </c>
    </row>
    <row r="132" spans="1:3" ht="18.75" thickBot="1" x14ac:dyDescent="0.25">
      <c r="A132" s="172"/>
      <c r="B132" s="84" t="s">
        <v>56</v>
      </c>
      <c r="C132" s="60"/>
    </row>
    <row r="133" spans="1:3" ht="18" x14ac:dyDescent="0.2">
      <c r="A133" s="172"/>
      <c r="B133" s="94"/>
      <c r="C133" s="60"/>
    </row>
    <row r="134" spans="1:3" ht="18.75" thickBot="1" x14ac:dyDescent="0.25">
      <c r="A134" s="173"/>
      <c r="B134" s="84"/>
      <c r="C134" s="60"/>
    </row>
    <row r="135" spans="1:3" ht="15" thickTop="1" x14ac:dyDescent="0.2">
      <c r="B135" s="119"/>
      <c r="C135" s="63"/>
    </row>
    <row r="136" spans="1:3" ht="20.25" x14ac:dyDescent="0.2">
      <c r="B136" s="64" t="s">
        <v>54</v>
      </c>
      <c r="C136" s="65" t="s">
        <v>76</v>
      </c>
    </row>
    <row r="137" spans="1:3" ht="15" thickBot="1" x14ac:dyDescent="0.25">
      <c r="B137" s="66"/>
      <c r="C137" s="67"/>
    </row>
  </sheetData>
  <mergeCells count="1">
    <mergeCell ref="A124:A134"/>
  </mergeCells>
  <pageMargins left="0.7" right="0.7" top="0.75" bottom="0.75" header="0.3" footer="0.3"/>
  <pageSetup paperSize="9" orientation="portrait" r:id="rId1"/>
  <headerFooter>
    <oddHeader>&amp;L&amp;"Arial,Bold"&amp;14RING FRAME&amp;C&amp;"Arial,Bold"&amp;14 2024-2025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2"/>
  <sheetViews>
    <sheetView topLeftCell="A58" zoomScaleNormal="100" workbookViewId="0">
      <selection activeCell="D62" sqref="D62"/>
    </sheetView>
  </sheetViews>
  <sheetFormatPr defaultColWidth="10" defaultRowHeight="21.95" customHeight="1" x14ac:dyDescent="0.2"/>
  <cols>
    <col min="1" max="1" width="12.25" style="120" customWidth="1"/>
    <col min="2" max="2" width="44" style="120" customWidth="1"/>
    <col min="3" max="3" width="13" style="123" customWidth="1"/>
    <col min="4" max="4" width="11" style="123" customWidth="1"/>
    <col min="5" max="16384" width="10" style="120"/>
  </cols>
  <sheetData>
    <row r="1" spans="1:5" ht="21.95" customHeight="1" thickBot="1" x14ac:dyDescent="0.25">
      <c r="A1" s="184" t="s">
        <v>283</v>
      </c>
      <c r="B1" s="185"/>
      <c r="C1" s="185"/>
      <c r="D1" s="185"/>
      <c r="E1" s="186"/>
    </row>
    <row r="2" spans="1:5" ht="21.95" customHeight="1" thickBot="1" x14ac:dyDescent="0.25">
      <c r="A2" s="133" t="s">
        <v>1</v>
      </c>
      <c r="B2" s="133" t="s">
        <v>2</v>
      </c>
      <c r="C2" s="130" t="s">
        <v>244</v>
      </c>
      <c r="D2" s="182" t="s">
        <v>3</v>
      </c>
      <c r="E2" s="183"/>
    </row>
    <row r="3" spans="1:5" s="121" customFormat="1" ht="21.95" customHeight="1" x14ac:dyDescent="0.2">
      <c r="A3" s="193">
        <v>46143</v>
      </c>
      <c r="B3" s="134" t="s">
        <v>251</v>
      </c>
      <c r="C3" s="131">
        <v>1</v>
      </c>
      <c r="D3" s="131">
        <v>18100</v>
      </c>
      <c r="E3" s="174">
        <v>98900</v>
      </c>
    </row>
    <row r="4" spans="1:5" s="121" customFormat="1" ht="21.95" customHeight="1" x14ac:dyDescent="0.2">
      <c r="A4" s="194"/>
      <c r="B4" s="135" t="s">
        <v>266</v>
      </c>
      <c r="C4" s="131" t="s">
        <v>258</v>
      </c>
      <c r="D4" s="131">
        <v>40800</v>
      </c>
      <c r="E4" s="175"/>
    </row>
    <row r="5" spans="1:5" s="121" customFormat="1" ht="21.95" customHeight="1" x14ac:dyDescent="0.2">
      <c r="A5" s="194"/>
      <c r="B5" s="136" t="s">
        <v>246</v>
      </c>
      <c r="C5" s="131" t="s">
        <v>275</v>
      </c>
      <c r="D5" s="131">
        <v>20000</v>
      </c>
      <c r="E5" s="175"/>
    </row>
    <row r="6" spans="1:5" s="121" customFormat="1" ht="21.95" customHeight="1" thickBot="1" x14ac:dyDescent="0.25">
      <c r="A6" s="194"/>
      <c r="B6" s="137" t="s">
        <v>247</v>
      </c>
      <c r="C6" s="131" t="s">
        <v>275</v>
      </c>
      <c r="D6" s="131">
        <v>20000</v>
      </c>
      <c r="E6" s="175"/>
    </row>
    <row r="7" spans="1:5" s="121" customFormat="1" ht="21.95" customHeight="1" x14ac:dyDescent="0.2">
      <c r="A7" s="195">
        <v>46174</v>
      </c>
      <c r="B7" s="134" t="s">
        <v>248</v>
      </c>
      <c r="C7" s="131" t="s">
        <v>259</v>
      </c>
      <c r="D7" s="131">
        <v>3000</v>
      </c>
      <c r="E7" s="174">
        <v>189000</v>
      </c>
    </row>
    <row r="8" spans="1:5" s="121" customFormat="1" ht="21.95" customHeight="1" x14ac:dyDescent="0.2">
      <c r="A8" s="196"/>
      <c r="B8" s="136" t="s">
        <v>249</v>
      </c>
      <c r="C8" s="131" t="s">
        <v>270</v>
      </c>
      <c r="D8" s="131">
        <v>48000</v>
      </c>
      <c r="E8" s="175"/>
    </row>
    <row r="9" spans="1:5" s="121" customFormat="1" ht="21.95" customHeight="1" x14ac:dyDescent="0.2">
      <c r="A9" s="196"/>
      <c r="B9" s="136" t="s">
        <v>245</v>
      </c>
      <c r="C9" s="131" t="s">
        <v>271</v>
      </c>
      <c r="D9" s="131">
        <v>98000</v>
      </c>
      <c r="E9" s="175"/>
    </row>
    <row r="10" spans="1:5" s="121" customFormat="1" ht="21.95" customHeight="1" x14ac:dyDescent="0.2">
      <c r="A10" s="196"/>
      <c r="B10" s="136" t="s">
        <v>250</v>
      </c>
      <c r="C10" s="131" t="s">
        <v>275</v>
      </c>
      <c r="D10" s="131">
        <v>20000</v>
      </c>
      <c r="E10" s="175"/>
    </row>
    <row r="11" spans="1:5" s="121" customFormat="1" ht="21.95" customHeight="1" thickBot="1" x14ac:dyDescent="0.25">
      <c r="A11" s="196"/>
      <c r="B11" s="136" t="s">
        <v>247</v>
      </c>
      <c r="C11" s="131" t="s">
        <v>275</v>
      </c>
      <c r="D11" s="131">
        <v>20000</v>
      </c>
      <c r="E11" s="175"/>
    </row>
    <row r="12" spans="1:5" s="121" customFormat="1" ht="21.95" customHeight="1" x14ac:dyDescent="0.2">
      <c r="A12" s="195">
        <v>46204</v>
      </c>
      <c r="B12" s="134" t="s">
        <v>248</v>
      </c>
      <c r="C12" s="131">
        <v>3</v>
      </c>
      <c r="D12" s="131">
        <v>1500</v>
      </c>
      <c r="E12" s="174">
        <v>199700</v>
      </c>
    </row>
    <row r="13" spans="1:5" s="121" customFormat="1" ht="21.95" customHeight="1" x14ac:dyDescent="0.2">
      <c r="A13" s="196"/>
      <c r="B13" s="136" t="s">
        <v>249</v>
      </c>
      <c r="C13" s="131">
        <v>5</v>
      </c>
      <c r="D13" s="131">
        <v>24000</v>
      </c>
      <c r="E13" s="175"/>
    </row>
    <row r="14" spans="1:5" s="121" customFormat="1" ht="21.95" customHeight="1" x14ac:dyDescent="0.2">
      <c r="A14" s="196"/>
      <c r="B14" s="136" t="s">
        <v>251</v>
      </c>
      <c r="C14" s="131" t="s">
        <v>272</v>
      </c>
      <c r="D14" s="131">
        <v>36200</v>
      </c>
      <c r="E14" s="175"/>
    </row>
    <row r="15" spans="1:5" s="121" customFormat="1" ht="21.95" customHeight="1" x14ac:dyDescent="0.2">
      <c r="A15" s="196"/>
      <c r="B15" s="136" t="s">
        <v>245</v>
      </c>
      <c r="C15" s="131" t="s">
        <v>259</v>
      </c>
      <c r="D15" s="131">
        <v>98000</v>
      </c>
      <c r="E15" s="175"/>
    </row>
    <row r="16" spans="1:5" s="121" customFormat="1" ht="21.95" customHeight="1" x14ac:dyDescent="0.2">
      <c r="A16" s="196"/>
      <c r="B16" s="136" t="s">
        <v>250</v>
      </c>
      <c r="C16" s="131" t="s">
        <v>275</v>
      </c>
      <c r="D16" s="131">
        <v>20000</v>
      </c>
      <c r="E16" s="175"/>
    </row>
    <row r="17" spans="1:5" s="121" customFormat="1" ht="21.95" customHeight="1" thickBot="1" x14ac:dyDescent="0.25">
      <c r="A17" s="196"/>
      <c r="B17" s="136" t="s">
        <v>247</v>
      </c>
      <c r="C17" s="131" t="s">
        <v>275</v>
      </c>
      <c r="D17" s="131">
        <v>20000</v>
      </c>
      <c r="E17" s="175"/>
    </row>
    <row r="18" spans="1:5" s="121" customFormat="1" ht="21.95" customHeight="1" x14ac:dyDescent="0.2">
      <c r="A18" s="195">
        <v>46235</v>
      </c>
      <c r="B18" s="134" t="s">
        <v>273</v>
      </c>
      <c r="C18" s="131">
        <v>2</v>
      </c>
      <c r="D18" s="131">
        <v>200000</v>
      </c>
      <c r="E18" s="174">
        <v>288000</v>
      </c>
    </row>
    <row r="19" spans="1:5" s="121" customFormat="1" ht="21.95" customHeight="1" x14ac:dyDescent="0.2">
      <c r="A19" s="196"/>
      <c r="B19" s="136" t="s">
        <v>249</v>
      </c>
      <c r="C19" s="131" t="s">
        <v>272</v>
      </c>
      <c r="D19" s="138">
        <v>48000</v>
      </c>
      <c r="E19" s="175"/>
    </row>
    <row r="20" spans="1:5" s="121" customFormat="1" ht="21.95" customHeight="1" x14ac:dyDescent="0.2">
      <c r="A20" s="196"/>
      <c r="B20" s="136" t="s">
        <v>250</v>
      </c>
      <c r="C20" s="131" t="s">
        <v>275</v>
      </c>
      <c r="D20" s="131">
        <v>20000</v>
      </c>
      <c r="E20" s="175"/>
    </row>
    <row r="21" spans="1:5" s="121" customFormat="1" ht="21.95" customHeight="1" x14ac:dyDescent="0.2">
      <c r="A21" s="196"/>
      <c r="B21" s="136" t="s">
        <v>247</v>
      </c>
      <c r="C21" s="131" t="s">
        <v>275</v>
      </c>
      <c r="D21" s="131">
        <v>20000</v>
      </c>
      <c r="E21" s="175"/>
    </row>
    <row r="22" spans="1:5" s="121" customFormat="1" ht="21.95" customHeight="1" x14ac:dyDescent="0.2">
      <c r="A22" s="196">
        <v>46266</v>
      </c>
      <c r="B22" s="136" t="s">
        <v>249</v>
      </c>
      <c r="C22" s="131" t="s">
        <v>270</v>
      </c>
      <c r="D22" s="131">
        <v>48000</v>
      </c>
      <c r="E22" s="174">
        <v>127200</v>
      </c>
    </row>
    <row r="23" spans="1:5" s="121" customFormat="1" ht="21.95" customHeight="1" x14ac:dyDescent="0.2">
      <c r="A23" s="196"/>
      <c r="B23" s="136" t="s">
        <v>251</v>
      </c>
      <c r="C23" s="131" t="s">
        <v>258</v>
      </c>
      <c r="D23" s="131">
        <v>36200</v>
      </c>
      <c r="E23" s="175"/>
    </row>
    <row r="24" spans="1:5" s="121" customFormat="1" ht="21.95" customHeight="1" x14ac:dyDescent="0.2">
      <c r="A24" s="196"/>
      <c r="B24" s="136" t="s">
        <v>248</v>
      </c>
      <c r="C24" s="131" t="s">
        <v>258</v>
      </c>
      <c r="D24" s="131">
        <v>3000</v>
      </c>
      <c r="E24" s="175"/>
    </row>
    <row r="25" spans="1:5" s="121" customFormat="1" ht="21.95" customHeight="1" x14ac:dyDescent="0.2">
      <c r="A25" s="196"/>
      <c r="B25" s="136" t="s">
        <v>250</v>
      </c>
      <c r="C25" s="131" t="s">
        <v>275</v>
      </c>
      <c r="D25" s="131">
        <v>20000</v>
      </c>
      <c r="E25" s="175"/>
    </row>
    <row r="26" spans="1:5" s="121" customFormat="1" ht="21.95" customHeight="1" x14ac:dyDescent="0.2">
      <c r="A26" s="196"/>
      <c r="B26" s="136" t="s">
        <v>247</v>
      </c>
      <c r="C26" s="131" t="s">
        <v>275</v>
      </c>
      <c r="D26" s="131">
        <v>20000</v>
      </c>
      <c r="E26" s="175"/>
    </row>
    <row r="27" spans="1:5" s="121" customFormat="1" ht="21.95" customHeight="1" x14ac:dyDescent="0.2">
      <c r="A27" s="196">
        <v>46296</v>
      </c>
      <c r="B27" s="136" t="s">
        <v>249</v>
      </c>
      <c r="C27" s="131">
        <v>5</v>
      </c>
      <c r="D27" s="131">
        <v>24000</v>
      </c>
      <c r="E27" s="174">
        <v>264000</v>
      </c>
    </row>
    <row r="28" spans="1:5" s="121" customFormat="1" ht="21.95" customHeight="1" x14ac:dyDescent="0.2">
      <c r="A28" s="196"/>
      <c r="B28" s="136" t="s">
        <v>273</v>
      </c>
      <c r="C28" s="131">
        <v>2</v>
      </c>
      <c r="D28" s="131">
        <v>200000</v>
      </c>
      <c r="E28" s="175"/>
    </row>
    <row r="29" spans="1:5" s="121" customFormat="1" ht="21.95" customHeight="1" x14ac:dyDescent="0.2">
      <c r="A29" s="196"/>
      <c r="B29" s="136" t="s">
        <v>252</v>
      </c>
      <c r="C29" s="131" t="s">
        <v>275</v>
      </c>
      <c r="D29" s="131">
        <v>20000</v>
      </c>
      <c r="E29" s="175"/>
    </row>
    <row r="30" spans="1:5" s="121" customFormat="1" ht="21.95" customHeight="1" thickBot="1" x14ac:dyDescent="0.25">
      <c r="A30" s="196"/>
      <c r="B30" s="136" t="s">
        <v>247</v>
      </c>
      <c r="C30" s="131" t="s">
        <v>275</v>
      </c>
      <c r="D30" s="131">
        <v>20000</v>
      </c>
      <c r="E30" s="175"/>
    </row>
    <row r="31" spans="1:5" s="121" customFormat="1" ht="21.95" customHeight="1" x14ac:dyDescent="0.2">
      <c r="A31" s="195">
        <v>46327</v>
      </c>
      <c r="B31" s="134" t="s">
        <v>253</v>
      </c>
      <c r="C31" s="131" t="s">
        <v>274</v>
      </c>
      <c r="D31" s="131">
        <v>70928</v>
      </c>
      <c r="E31" s="174">
        <v>158928</v>
      </c>
    </row>
    <row r="32" spans="1:5" s="121" customFormat="1" ht="21.95" customHeight="1" x14ac:dyDescent="0.2">
      <c r="A32" s="196"/>
      <c r="B32" s="136" t="s">
        <v>249</v>
      </c>
      <c r="C32" s="131" t="s">
        <v>272</v>
      </c>
      <c r="D32" s="131">
        <v>48000</v>
      </c>
      <c r="E32" s="175"/>
    </row>
    <row r="33" spans="1:5" s="121" customFormat="1" ht="21.95" customHeight="1" x14ac:dyDescent="0.2">
      <c r="A33" s="196"/>
      <c r="B33" s="136" t="s">
        <v>252</v>
      </c>
      <c r="C33" s="131" t="s">
        <v>275</v>
      </c>
      <c r="D33" s="131">
        <v>20000</v>
      </c>
      <c r="E33" s="175"/>
    </row>
    <row r="34" spans="1:5" s="121" customFormat="1" ht="21.95" customHeight="1" thickBot="1" x14ac:dyDescent="0.25">
      <c r="A34" s="196"/>
      <c r="B34" s="136" t="s">
        <v>247</v>
      </c>
      <c r="C34" s="131" t="s">
        <v>275</v>
      </c>
      <c r="D34" s="131">
        <v>20000</v>
      </c>
      <c r="E34" s="175"/>
    </row>
    <row r="35" spans="1:5" s="121" customFormat="1" ht="21.95" customHeight="1" x14ac:dyDescent="0.2">
      <c r="A35" s="195">
        <v>46357</v>
      </c>
      <c r="B35" s="134" t="s">
        <v>245</v>
      </c>
      <c r="C35" s="131">
        <v>4</v>
      </c>
      <c r="D35" s="131">
        <v>98000</v>
      </c>
      <c r="E35" s="174">
        <v>386000</v>
      </c>
    </row>
    <row r="36" spans="1:5" s="121" customFormat="1" ht="21.95" customHeight="1" x14ac:dyDescent="0.2">
      <c r="A36" s="196"/>
      <c r="B36" s="136" t="s">
        <v>249</v>
      </c>
      <c r="C36" s="131" t="s">
        <v>270</v>
      </c>
      <c r="D36" s="131">
        <v>48000</v>
      </c>
      <c r="E36" s="175"/>
    </row>
    <row r="37" spans="1:5" s="121" customFormat="1" ht="21.95" customHeight="1" x14ac:dyDescent="0.2">
      <c r="A37" s="196"/>
      <c r="B37" s="136" t="s">
        <v>273</v>
      </c>
      <c r="C37" s="131">
        <v>3</v>
      </c>
      <c r="D37" s="131">
        <v>200000</v>
      </c>
      <c r="E37" s="175"/>
    </row>
    <row r="38" spans="1:5" s="121" customFormat="1" ht="21.95" customHeight="1" x14ac:dyDescent="0.2">
      <c r="A38" s="196"/>
      <c r="B38" s="136" t="s">
        <v>246</v>
      </c>
      <c r="C38" s="131" t="s">
        <v>275</v>
      </c>
      <c r="D38" s="131">
        <v>20000</v>
      </c>
      <c r="E38" s="175"/>
    </row>
    <row r="39" spans="1:5" s="121" customFormat="1" ht="21.95" customHeight="1" thickBot="1" x14ac:dyDescent="0.25">
      <c r="A39" s="196"/>
      <c r="B39" s="136" t="s">
        <v>247</v>
      </c>
      <c r="C39" s="131" t="s">
        <v>275</v>
      </c>
      <c r="D39" s="131">
        <v>20000</v>
      </c>
      <c r="E39" s="175"/>
    </row>
    <row r="40" spans="1:5" s="121" customFormat="1" ht="21.95" customHeight="1" x14ac:dyDescent="0.2">
      <c r="A40" s="195">
        <v>46388</v>
      </c>
      <c r="B40" s="134" t="s">
        <v>255</v>
      </c>
      <c r="C40" s="131" t="s">
        <v>275</v>
      </c>
      <c r="D40" s="131">
        <v>20000</v>
      </c>
      <c r="E40" s="174">
        <v>246000</v>
      </c>
    </row>
    <row r="41" spans="1:5" s="121" customFormat="1" ht="21.95" customHeight="1" x14ac:dyDescent="0.2">
      <c r="A41" s="196"/>
      <c r="B41" s="136" t="s">
        <v>254</v>
      </c>
      <c r="C41" s="131" t="s">
        <v>276</v>
      </c>
      <c r="D41" s="131">
        <v>78000</v>
      </c>
      <c r="E41" s="175"/>
    </row>
    <row r="42" spans="1:5" s="121" customFormat="1" ht="21.95" customHeight="1" x14ac:dyDescent="0.2">
      <c r="A42" s="196"/>
      <c r="B42" s="136" t="s">
        <v>256</v>
      </c>
      <c r="C42" s="131" t="s">
        <v>276</v>
      </c>
      <c r="D42" s="131">
        <v>66000</v>
      </c>
      <c r="E42" s="175"/>
    </row>
    <row r="43" spans="1:5" s="121" customFormat="1" ht="21.95" customHeight="1" x14ac:dyDescent="0.2">
      <c r="A43" s="196"/>
      <c r="B43" s="136" t="s">
        <v>249</v>
      </c>
      <c r="C43" s="131">
        <v>5</v>
      </c>
      <c r="D43" s="131">
        <v>24000</v>
      </c>
      <c r="E43" s="175"/>
    </row>
    <row r="44" spans="1:5" s="121" customFormat="1" ht="21.95" customHeight="1" x14ac:dyDescent="0.2">
      <c r="A44" s="196"/>
      <c r="B44" s="136" t="s">
        <v>277</v>
      </c>
      <c r="C44" s="131">
        <v>1</v>
      </c>
      <c r="D44" s="131">
        <v>18000</v>
      </c>
      <c r="E44" s="175"/>
    </row>
    <row r="45" spans="1:5" s="121" customFormat="1" ht="21.95" customHeight="1" x14ac:dyDescent="0.2">
      <c r="A45" s="196"/>
      <c r="B45" s="136" t="s">
        <v>246</v>
      </c>
      <c r="C45" s="131" t="s">
        <v>275</v>
      </c>
      <c r="D45" s="131">
        <v>20000</v>
      </c>
      <c r="E45" s="175"/>
    </row>
    <row r="46" spans="1:5" s="121" customFormat="1" ht="21.95" customHeight="1" thickBot="1" x14ac:dyDescent="0.25">
      <c r="A46" s="196"/>
      <c r="B46" s="136" t="s">
        <v>247</v>
      </c>
      <c r="C46" s="131" t="s">
        <v>275</v>
      </c>
      <c r="D46" s="131">
        <v>20000</v>
      </c>
      <c r="E46" s="175"/>
    </row>
    <row r="47" spans="1:5" s="121" customFormat="1" ht="21.95" customHeight="1" x14ac:dyDescent="0.2">
      <c r="A47" s="195">
        <v>46419</v>
      </c>
      <c r="B47" s="134" t="s">
        <v>253</v>
      </c>
      <c r="C47" s="131">
        <v>1</v>
      </c>
      <c r="D47" s="131">
        <v>17732</v>
      </c>
      <c r="E47" s="174">
        <v>470132</v>
      </c>
    </row>
    <row r="48" spans="1:5" s="121" customFormat="1" ht="21.95" customHeight="1" x14ac:dyDescent="0.2">
      <c r="A48" s="196"/>
      <c r="B48" s="136" t="s">
        <v>256</v>
      </c>
      <c r="C48" s="131">
        <v>2</v>
      </c>
      <c r="D48" s="131">
        <v>33000</v>
      </c>
      <c r="E48" s="175"/>
    </row>
    <row r="49" spans="1:5" s="121" customFormat="1" ht="21.95" customHeight="1" x14ac:dyDescent="0.2">
      <c r="A49" s="196"/>
      <c r="B49" s="136" t="s">
        <v>277</v>
      </c>
      <c r="C49" s="131">
        <v>2</v>
      </c>
      <c r="D49" s="131">
        <v>18000</v>
      </c>
      <c r="E49" s="175"/>
    </row>
    <row r="50" spans="1:5" s="121" customFormat="1" ht="21.95" customHeight="1" x14ac:dyDescent="0.2">
      <c r="A50" s="196"/>
      <c r="B50" s="136" t="s">
        <v>249</v>
      </c>
      <c r="C50" s="131" t="s">
        <v>272</v>
      </c>
      <c r="D50" s="131">
        <v>48000</v>
      </c>
      <c r="E50" s="175"/>
    </row>
    <row r="51" spans="1:5" s="121" customFormat="1" ht="21.95" customHeight="1" x14ac:dyDescent="0.2">
      <c r="A51" s="196"/>
      <c r="B51" s="136" t="s">
        <v>273</v>
      </c>
      <c r="C51" s="131">
        <v>4</v>
      </c>
      <c r="D51" s="131">
        <v>200000</v>
      </c>
      <c r="E51" s="175"/>
    </row>
    <row r="52" spans="1:5" s="121" customFormat="1" ht="21.95" customHeight="1" x14ac:dyDescent="0.2">
      <c r="A52" s="196"/>
      <c r="B52" s="136" t="s">
        <v>254</v>
      </c>
      <c r="C52" s="131">
        <v>2</v>
      </c>
      <c r="D52" s="131">
        <v>39000</v>
      </c>
      <c r="E52" s="175"/>
    </row>
    <row r="53" spans="1:5" s="121" customFormat="1" ht="21.95" customHeight="1" x14ac:dyDescent="0.2">
      <c r="A53" s="196"/>
      <c r="B53" s="136" t="s">
        <v>278</v>
      </c>
      <c r="C53" s="131">
        <v>2</v>
      </c>
      <c r="D53" s="131">
        <v>74400</v>
      </c>
      <c r="E53" s="175"/>
    </row>
    <row r="54" spans="1:5" s="121" customFormat="1" ht="21.95" customHeight="1" x14ac:dyDescent="0.2">
      <c r="A54" s="196"/>
      <c r="B54" s="136" t="s">
        <v>246</v>
      </c>
      <c r="C54" s="131" t="s">
        <v>275</v>
      </c>
      <c r="D54" s="131">
        <v>20000</v>
      </c>
      <c r="E54" s="175"/>
    </row>
    <row r="55" spans="1:5" s="121" customFormat="1" ht="21.95" customHeight="1" thickBot="1" x14ac:dyDescent="0.25">
      <c r="A55" s="196"/>
      <c r="B55" s="136" t="s">
        <v>247</v>
      </c>
      <c r="C55" s="131" t="s">
        <v>275</v>
      </c>
      <c r="D55" s="131">
        <v>20000</v>
      </c>
      <c r="E55" s="175"/>
    </row>
    <row r="56" spans="1:5" s="121" customFormat="1" ht="21.95" customHeight="1" x14ac:dyDescent="0.2">
      <c r="A56" s="195">
        <v>46447</v>
      </c>
      <c r="B56" s="134" t="s">
        <v>277</v>
      </c>
      <c r="C56" s="131" t="s">
        <v>271</v>
      </c>
      <c r="D56" s="131">
        <v>18000</v>
      </c>
      <c r="E56" s="174">
        <v>344800</v>
      </c>
    </row>
    <row r="57" spans="1:5" s="121" customFormat="1" ht="21.95" customHeight="1" x14ac:dyDescent="0.2">
      <c r="A57" s="196"/>
      <c r="B57" s="136" t="s">
        <v>254</v>
      </c>
      <c r="C57" s="131" t="s">
        <v>279</v>
      </c>
      <c r="D57" s="131">
        <v>78000</v>
      </c>
      <c r="E57" s="175"/>
    </row>
    <row r="58" spans="1:5" s="121" customFormat="1" ht="21.95" customHeight="1" x14ac:dyDescent="0.2">
      <c r="A58" s="196"/>
      <c r="B58" s="136" t="s">
        <v>256</v>
      </c>
      <c r="C58" s="131" t="s">
        <v>279</v>
      </c>
      <c r="D58" s="131">
        <v>66000</v>
      </c>
      <c r="E58" s="175"/>
    </row>
    <row r="59" spans="1:5" s="121" customFormat="1" ht="21.95" customHeight="1" x14ac:dyDescent="0.2">
      <c r="A59" s="196"/>
      <c r="B59" s="136" t="s">
        <v>249</v>
      </c>
      <c r="C59" s="131" t="s">
        <v>270</v>
      </c>
      <c r="D59" s="131">
        <v>48000</v>
      </c>
      <c r="E59" s="175"/>
    </row>
    <row r="60" spans="1:5" s="121" customFormat="1" ht="21.95" customHeight="1" x14ac:dyDescent="0.2">
      <c r="A60" s="196"/>
      <c r="B60" s="136" t="s">
        <v>266</v>
      </c>
      <c r="C60" s="131">
        <v>2</v>
      </c>
      <c r="D60" s="131">
        <v>20400</v>
      </c>
      <c r="E60" s="175"/>
    </row>
    <row r="61" spans="1:5" s="121" customFormat="1" ht="21.95" customHeight="1" x14ac:dyDescent="0.2">
      <c r="A61" s="196"/>
      <c r="B61" s="136" t="s">
        <v>278</v>
      </c>
      <c r="C61" s="131">
        <v>3</v>
      </c>
      <c r="D61" s="131">
        <v>74400</v>
      </c>
      <c r="E61" s="175"/>
    </row>
    <row r="62" spans="1:5" ht="21.95" customHeight="1" x14ac:dyDescent="0.2">
      <c r="A62" s="196"/>
      <c r="B62" s="136" t="s">
        <v>246</v>
      </c>
      <c r="C62" s="131" t="s">
        <v>275</v>
      </c>
      <c r="D62" s="124">
        <v>20000</v>
      </c>
      <c r="E62" s="175"/>
    </row>
    <row r="63" spans="1:5" ht="21.95" customHeight="1" thickBot="1" x14ac:dyDescent="0.25">
      <c r="A63" s="196"/>
      <c r="B63" s="136" t="s">
        <v>247</v>
      </c>
      <c r="C63" s="131" t="s">
        <v>275</v>
      </c>
      <c r="D63" s="131">
        <v>20000</v>
      </c>
      <c r="E63" s="175"/>
    </row>
    <row r="64" spans="1:5" ht="21.95" customHeight="1" x14ac:dyDescent="0.2">
      <c r="A64" s="195">
        <v>46478</v>
      </c>
      <c r="B64" s="134" t="s">
        <v>273</v>
      </c>
      <c r="C64" s="124">
        <v>5</v>
      </c>
      <c r="D64" s="131">
        <v>200000</v>
      </c>
      <c r="E64" s="176">
        <v>471600</v>
      </c>
    </row>
    <row r="65" spans="1:5" ht="21.95" customHeight="1" x14ac:dyDescent="0.2">
      <c r="A65" s="196"/>
      <c r="B65" s="135" t="s">
        <v>277</v>
      </c>
      <c r="C65" s="124">
        <v>4</v>
      </c>
      <c r="D65" s="131">
        <v>18000</v>
      </c>
      <c r="E65" s="177"/>
    </row>
    <row r="66" spans="1:5" ht="21.95" customHeight="1" x14ac:dyDescent="0.2">
      <c r="A66" s="196"/>
      <c r="B66" s="135" t="s">
        <v>278</v>
      </c>
      <c r="C66" s="124" t="s">
        <v>258</v>
      </c>
      <c r="D66" s="131">
        <v>148800</v>
      </c>
      <c r="E66" s="177"/>
    </row>
    <row r="67" spans="1:5" ht="21.95" customHeight="1" x14ac:dyDescent="0.2">
      <c r="A67" s="196"/>
      <c r="B67" s="135" t="s">
        <v>266</v>
      </c>
      <c r="C67" s="124" t="s">
        <v>280</v>
      </c>
      <c r="D67" s="131">
        <v>40800</v>
      </c>
      <c r="E67" s="177"/>
    </row>
    <row r="68" spans="1:5" ht="21.95" customHeight="1" x14ac:dyDescent="0.2">
      <c r="A68" s="196"/>
      <c r="B68" s="136" t="s">
        <v>249</v>
      </c>
      <c r="C68" s="124">
        <v>5</v>
      </c>
      <c r="D68" s="131">
        <v>24000</v>
      </c>
      <c r="E68" s="177"/>
    </row>
    <row r="69" spans="1:5" ht="21.95" customHeight="1" x14ac:dyDescent="0.2">
      <c r="A69" s="196"/>
      <c r="B69" s="136" t="s">
        <v>246</v>
      </c>
      <c r="C69" s="131" t="s">
        <v>275</v>
      </c>
      <c r="D69" s="131">
        <v>20000</v>
      </c>
      <c r="E69" s="177"/>
    </row>
    <row r="70" spans="1:5" ht="21.95" customHeight="1" x14ac:dyDescent="0.2">
      <c r="A70" s="196"/>
      <c r="B70" s="136" t="s">
        <v>247</v>
      </c>
      <c r="C70" s="131" t="s">
        <v>275</v>
      </c>
      <c r="D70" s="131">
        <v>20000</v>
      </c>
      <c r="E70" s="177"/>
    </row>
    <row r="71" spans="1:5" ht="21.95" customHeight="1" x14ac:dyDescent="0.2">
      <c r="A71" s="187" t="s">
        <v>257</v>
      </c>
      <c r="B71" s="188"/>
      <c r="C71" s="189"/>
      <c r="D71" s="178">
        <f>SUM(E3:E70)</f>
        <v>3244260</v>
      </c>
      <c r="E71" s="179"/>
    </row>
    <row r="72" spans="1:5" ht="21.95" customHeight="1" x14ac:dyDescent="0.2">
      <c r="A72" s="190"/>
      <c r="B72" s="191"/>
      <c r="C72" s="192"/>
      <c r="D72" s="180"/>
      <c r="E72" s="181"/>
    </row>
  </sheetData>
  <mergeCells count="28">
    <mergeCell ref="A3:A6"/>
    <mergeCell ref="A7:A11"/>
    <mergeCell ref="A64:A70"/>
    <mergeCell ref="A56:A63"/>
    <mergeCell ref="A47:A55"/>
    <mergeCell ref="A40:A46"/>
    <mergeCell ref="A35:A39"/>
    <mergeCell ref="A31:A34"/>
    <mergeCell ref="A27:A30"/>
    <mergeCell ref="A22:A26"/>
    <mergeCell ref="A18:A21"/>
    <mergeCell ref="A12:A17"/>
    <mergeCell ref="E56:E63"/>
    <mergeCell ref="E64:E70"/>
    <mergeCell ref="D71:E72"/>
    <mergeCell ref="D2:E2"/>
    <mergeCell ref="A1:E1"/>
    <mergeCell ref="A71:C72"/>
    <mergeCell ref="E27:E30"/>
    <mergeCell ref="E31:E34"/>
    <mergeCell ref="E35:E39"/>
    <mergeCell ref="E40:E46"/>
    <mergeCell ref="E47:E55"/>
    <mergeCell ref="E3:E6"/>
    <mergeCell ref="E7:E11"/>
    <mergeCell ref="E12:E17"/>
    <mergeCell ref="E18:E21"/>
    <mergeCell ref="E22:E26"/>
  </mergeCells>
  <pageMargins left="0.27" right="0.2" top="0.16" bottom="0.31" header="0.16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5"/>
  <sheetViews>
    <sheetView zoomScaleNormal="100" workbookViewId="0">
      <selection activeCell="A59" sqref="A59:A63"/>
    </sheetView>
  </sheetViews>
  <sheetFormatPr defaultColWidth="10" defaultRowHeight="21.95" customHeight="1" x14ac:dyDescent="0.2"/>
  <cols>
    <col min="1" max="1" width="15.625" style="120" customWidth="1"/>
    <col min="2" max="2" width="48.25" style="127" customWidth="1"/>
    <col min="3" max="3" width="17.375" style="125" customWidth="1"/>
    <col min="4" max="4" width="14.625" style="125" customWidth="1"/>
    <col min="5" max="16384" width="10" style="120"/>
  </cols>
  <sheetData>
    <row r="1" spans="1:7" ht="21.95" customHeight="1" x14ac:dyDescent="0.2">
      <c r="A1" s="198" t="s">
        <v>260</v>
      </c>
      <c r="B1" s="199"/>
      <c r="C1" s="199"/>
      <c r="D1" s="199"/>
      <c r="E1" s="200"/>
    </row>
    <row r="2" spans="1:7" ht="21.95" customHeight="1" x14ac:dyDescent="0.2">
      <c r="A2" s="201"/>
      <c r="B2" s="202"/>
      <c r="C2" s="202"/>
      <c r="D2" s="202"/>
      <c r="E2" s="203"/>
    </row>
    <row r="3" spans="1:7" ht="21.95" customHeight="1" x14ac:dyDescent="0.2">
      <c r="A3" s="139" t="s">
        <v>1</v>
      </c>
      <c r="B3" s="131" t="s">
        <v>2</v>
      </c>
      <c r="C3" s="131" t="s">
        <v>244</v>
      </c>
      <c r="D3" s="204" t="s">
        <v>3</v>
      </c>
      <c r="E3" s="205"/>
    </row>
    <row r="4" spans="1:7" ht="21.95" customHeight="1" x14ac:dyDescent="0.2">
      <c r="A4" s="197">
        <v>46143</v>
      </c>
      <c r="B4" s="128" t="s">
        <v>248</v>
      </c>
      <c r="C4" s="131" t="s">
        <v>261</v>
      </c>
      <c r="D4" s="131">
        <v>3000</v>
      </c>
      <c r="E4" s="176">
        <v>67000</v>
      </c>
    </row>
    <row r="5" spans="1:7" ht="21.95" customHeight="1" x14ac:dyDescent="0.2">
      <c r="A5" s="197"/>
      <c r="B5" s="128" t="s">
        <v>249</v>
      </c>
      <c r="C5" s="131">
        <v>10</v>
      </c>
      <c r="D5" s="131">
        <v>24000</v>
      </c>
      <c r="E5" s="177"/>
    </row>
    <row r="6" spans="1:7" s="121" customFormat="1" ht="21.95" customHeight="1" x14ac:dyDescent="0.2">
      <c r="A6" s="197"/>
      <c r="B6" s="126" t="s">
        <v>246</v>
      </c>
      <c r="C6" s="132" t="s">
        <v>267</v>
      </c>
      <c r="D6" s="131">
        <v>20000</v>
      </c>
      <c r="E6" s="177"/>
    </row>
    <row r="7" spans="1:7" s="121" customFormat="1" ht="21.95" customHeight="1" x14ac:dyDescent="0.2">
      <c r="A7" s="197"/>
      <c r="B7" s="126" t="s">
        <v>247</v>
      </c>
      <c r="C7" s="131" t="s">
        <v>267</v>
      </c>
      <c r="D7" s="131">
        <v>20000</v>
      </c>
      <c r="E7" s="177"/>
    </row>
    <row r="8" spans="1:7" s="121" customFormat="1" ht="21.95" customHeight="1" x14ac:dyDescent="0.2">
      <c r="A8" s="197">
        <v>46174</v>
      </c>
      <c r="B8" s="126" t="s">
        <v>249</v>
      </c>
      <c r="C8" s="131">
        <v>7</v>
      </c>
      <c r="D8" s="131">
        <v>24000</v>
      </c>
      <c r="E8" s="174">
        <v>68500</v>
      </c>
    </row>
    <row r="9" spans="1:7" s="121" customFormat="1" ht="21.95" customHeight="1" x14ac:dyDescent="0.2">
      <c r="A9" s="197"/>
      <c r="B9" s="126" t="s">
        <v>250</v>
      </c>
      <c r="C9" s="131" t="s">
        <v>267</v>
      </c>
      <c r="D9" s="131">
        <v>20000</v>
      </c>
      <c r="E9" s="175"/>
      <c r="F9" s="122"/>
      <c r="G9" s="122"/>
    </row>
    <row r="10" spans="1:7" s="121" customFormat="1" ht="21.95" customHeight="1" x14ac:dyDescent="0.2">
      <c r="A10" s="197"/>
      <c r="B10" s="126" t="s">
        <v>248</v>
      </c>
      <c r="C10" s="131" t="s">
        <v>282</v>
      </c>
      <c r="D10" s="131">
        <v>4500</v>
      </c>
      <c r="E10" s="175"/>
      <c r="F10" s="122"/>
      <c r="G10" s="122"/>
    </row>
    <row r="11" spans="1:7" s="121" customFormat="1" ht="21.95" customHeight="1" x14ac:dyDescent="0.2">
      <c r="A11" s="197"/>
      <c r="B11" s="126" t="s">
        <v>247</v>
      </c>
      <c r="C11" s="131" t="s">
        <v>267</v>
      </c>
      <c r="D11" s="131">
        <v>20000</v>
      </c>
      <c r="E11" s="175"/>
    </row>
    <row r="12" spans="1:7" s="121" customFormat="1" ht="21.95" customHeight="1" x14ac:dyDescent="0.2">
      <c r="A12" s="197">
        <v>46204</v>
      </c>
      <c r="B12" s="126" t="s">
        <v>249</v>
      </c>
      <c r="C12" s="131" t="s">
        <v>262</v>
      </c>
      <c r="D12" s="131">
        <v>72000</v>
      </c>
      <c r="E12" s="174">
        <v>187000</v>
      </c>
    </row>
    <row r="13" spans="1:7" s="121" customFormat="1" ht="21.95" customHeight="1" x14ac:dyDescent="0.2">
      <c r="A13" s="197"/>
      <c r="B13" s="126" t="s">
        <v>250</v>
      </c>
      <c r="C13" s="131" t="s">
        <v>267</v>
      </c>
      <c r="D13" s="131">
        <v>20000</v>
      </c>
      <c r="E13" s="175"/>
    </row>
    <row r="14" spans="1:7" s="121" customFormat="1" ht="21.95" customHeight="1" x14ac:dyDescent="0.2">
      <c r="A14" s="197"/>
      <c r="B14" s="126" t="s">
        <v>247</v>
      </c>
      <c r="C14" s="131" t="s">
        <v>267</v>
      </c>
      <c r="D14" s="131">
        <v>20000</v>
      </c>
      <c r="E14" s="175"/>
    </row>
    <row r="15" spans="1:7" s="121" customFormat="1" ht="21.95" customHeight="1" x14ac:dyDescent="0.2">
      <c r="A15" s="197"/>
      <c r="B15" s="126" t="s">
        <v>281</v>
      </c>
      <c r="C15" s="131">
        <v>6</v>
      </c>
      <c r="D15" s="131">
        <v>75000</v>
      </c>
      <c r="E15" s="175"/>
    </row>
    <row r="16" spans="1:7" s="121" customFormat="1" ht="21.95" customHeight="1" x14ac:dyDescent="0.2">
      <c r="A16" s="197">
        <v>46235</v>
      </c>
      <c r="B16" s="126" t="s">
        <v>245</v>
      </c>
      <c r="C16" s="131" t="s">
        <v>263</v>
      </c>
      <c r="D16" s="131">
        <v>98000</v>
      </c>
      <c r="E16" s="174">
        <v>184000</v>
      </c>
    </row>
    <row r="17" spans="1:5" s="121" customFormat="1" ht="21.95" customHeight="1" x14ac:dyDescent="0.2">
      <c r="A17" s="197"/>
      <c r="B17" s="126" t="s">
        <v>264</v>
      </c>
      <c r="C17" s="131">
        <v>6</v>
      </c>
      <c r="D17" s="131">
        <v>22000</v>
      </c>
      <c r="E17" s="175"/>
    </row>
    <row r="18" spans="1:5" s="121" customFormat="1" ht="21.95" customHeight="1" x14ac:dyDescent="0.2">
      <c r="A18" s="197"/>
      <c r="B18" s="126" t="s">
        <v>249</v>
      </c>
      <c r="C18" s="131">
        <v>10</v>
      </c>
      <c r="D18" s="131">
        <v>24000</v>
      </c>
      <c r="E18" s="175"/>
    </row>
    <row r="19" spans="1:5" s="121" customFormat="1" ht="21.95" customHeight="1" x14ac:dyDescent="0.2">
      <c r="A19" s="197"/>
      <c r="B19" s="126" t="s">
        <v>250</v>
      </c>
      <c r="C19" s="131" t="s">
        <v>267</v>
      </c>
      <c r="D19" s="131">
        <v>20000</v>
      </c>
      <c r="E19" s="175"/>
    </row>
    <row r="20" spans="1:5" s="121" customFormat="1" ht="21.95" customHeight="1" x14ac:dyDescent="0.2">
      <c r="A20" s="197"/>
      <c r="B20" s="126" t="s">
        <v>247</v>
      </c>
      <c r="C20" s="131" t="s">
        <v>267</v>
      </c>
      <c r="D20" s="131">
        <v>20000</v>
      </c>
      <c r="E20" s="175"/>
    </row>
    <row r="21" spans="1:5" s="121" customFormat="1" ht="21.95" customHeight="1" x14ac:dyDescent="0.2">
      <c r="A21" s="197">
        <v>46266</v>
      </c>
      <c r="B21" s="126" t="s">
        <v>249</v>
      </c>
      <c r="C21" s="131">
        <v>7</v>
      </c>
      <c r="D21" s="131">
        <v>24000</v>
      </c>
      <c r="E21" s="174">
        <v>219000</v>
      </c>
    </row>
    <row r="22" spans="1:5" s="121" customFormat="1" ht="21.95" customHeight="1" x14ac:dyDescent="0.2">
      <c r="A22" s="197"/>
      <c r="B22" s="126" t="s">
        <v>245</v>
      </c>
      <c r="C22" s="131">
        <v>7</v>
      </c>
      <c r="D22" s="131">
        <v>80000</v>
      </c>
      <c r="E22" s="175"/>
    </row>
    <row r="23" spans="1:5" s="121" customFormat="1" ht="21.95" customHeight="1" x14ac:dyDescent="0.2">
      <c r="A23" s="197"/>
      <c r="B23" s="126" t="s">
        <v>250</v>
      </c>
      <c r="C23" s="131" t="s">
        <v>267</v>
      </c>
      <c r="D23" s="131">
        <v>20000</v>
      </c>
      <c r="E23" s="175"/>
    </row>
    <row r="24" spans="1:5" s="121" customFormat="1" ht="21.95" customHeight="1" x14ac:dyDescent="0.2">
      <c r="A24" s="197"/>
      <c r="B24" s="126" t="s">
        <v>247</v>
      </c>
      <c r="C24" s="131" t="s">
        <v>267</v>
      </c>
      <c r="D24" s="131">
        <v>20000</v>
      </c>
      <c r="E24" s="175"/>
    </row>
    <row r="25" spans="1:5" s="121" customFormat="1" ht="21.95" customHeight="1" x14ac:dyDescent="0.2">
      <c r="A25" s="197"/>
      <c r="B25" s="126" t="s">
        <v>281</v>
      </c>
      <c r="C25" s="131">
        <v>7</v>
      </c>
      <c r="D25" s="131">
        <v>75000</v>
      </c>
      <c r="E25" s="175"/>
    </row>
    <row r="26" spans="1:5" s="121" customFormat="1" ht="21.95" customHeight="1" x14ac:dyDescent="0.2">
      <c r="A26" s="197">
        <v>46296</v>
      </c>
      <c r="B26" s="126" t="s">
        <v>249</v>
      </c>
      <c r="C26" s="131" t="s">
        <v>262</v>
      </c>
      <c r="D26" s="131">
        <v>72000</v>
      </c>
      <c r="E26" s="174">
        <v>257000</v>
      </c>
    </row>
    <row r="27" spans="1:5" s="121" customFormat="1" ht="21.95" customHeight="1" x14ac:dyDescent="0.2">
      <c r="A27" s="197"/>
      <c r="B27" s="126" t="s">
        <v>254</v>
      </c>
      <c r="C27" s="131">
        <v>9</v>
      </c>
      <c r="D27" s="131">
        <v>39000</v>
      </c>
      <c r="E27" s="175"/>
    </row>
    <row r="28" spans="1:5" s="121" customFormat="1" ht="31.5" customHeight="1" x14ac:dyDescent="0.2">
      <c r="A28" s="197"/>
      <c r="B28" s="129" t="s">
        <v>265</v>
      </c>
      <c r="C28" s="131">
        <v>6</v>
      </c>
      <c r="D28" s="131">
        <v>51000</v>
      </c>
      <c r="E28" s="175"/>
    </row>
    <row r="29" spans="1:5" s="121" customFormat="1" ht="21.95" customHeight="1" x14ac:dyDescent="0.2">
      <c r="A29" s="197"/>
      <c r="B29" s="126" t="s">
        <v>264</v>
      </c>
      <c r="C29" s="131">
        <v>7</v>
      </c>
      <c r="D29" s="131">
        <v>22000</v>
      </c>
      <c r="E29" s="175"/>
    </row>
    <row r="30" spans="1:5" s="121" customFormat="1" ht="21.95" customHeight="1" x14ac:dyDescent="0.2">
      <c r="A30" s="197"/>
      <c r="B30" s="126" t="s">
        <v>252</v>
      </c>
      <c r="C30" s="131" t="s">
        <v>267</v>
      </c>
      <c r="D30" s="131">
        <v>20000</v>
      </c>
      <c r="E30" s="175"/>
    </row>
    <row r="31" spans="1:5" s="121" customFormat="1" ht="21.95" customHeight="1" x14ac:dyDescent="0.2">
      <c r="A31" s="197"/>
      <c r="B31" s="126" t="s">
        <v>247</v>
      </c>
      <c r="C31" s="131" t="s">
        <v>267</v>
      </c>
      <c r="D31" s="131">
        <v>20000</v>
      </c>
      <c r="E31" s="175"/>
    </row>
    <row r="32" spans="1:5" s="121" customFormat="1" ht="21.95" customHeight="1" x14ac:dyDescent="0.2">
      <c r="A32" s="197"/>
      <c r="B32" s="126" t="s">
        <v>256</v>
      </c>
      <c r="C32" s="131">
        <v>9</v>
      </c>
      <c r="D32" s="131">
        <v>33000</v>
      </c>
      <c r="E32" s="175"/>
    </row>
    <row r="33" spans="1:5" s="121" customFormat="1" ht="21.95" customHeight="1" x14ac:dyDescent="0.2">
      <c r="A33" s="197">
        <v>46327</v>
      </c>
      <c r="B33" s="126" t="s">
        <v>249</v>
      </c>
      <c r="C33" s="131">
        <v>10</v>
      </c>
      <c r="D33" s="131">
        <v>24000</v>
      </c>
      <c r="E33" s="174">
        <v>139000</v>
      </c>
    </row>
    <row r="34" spans="1:5" s="121" customFormat="1" ht="21.95" customHeight="1" x14ac:dyDescent="0.2">
      <c r="A34" s="197"/>
      <c r="B34" s="126" t="s">
        <v>252</v>
      </c>
      <c r="C34" s="131" t="s">
        <v>267</v>
      </c>
      <c r="D34" s="131">
        <v>20000</v>
      </c>
      <c r="E34" s="175"/>
    </row>
    <row r="35" spans="1:5" s="121" customFormat="1" ht="21.95" customHeight="1" x14ac:dyDescent="0.2">
      <c r="A35" s="197"/>
      <c r="B35" s="126" t="s">
        <v>247</v>
      </c>
      <c r="C35" s="131" t="s">
        <v>267</v>
      </c>
      <c r="D35" s="131">
        <v>20000</v>
      </c>
      <c r="E35" s="175"/>
    </row>
    <row r="36" spans="1:5" s="121" customFormat="1" ht="21.95" customHeight="1" x14ac:dyDescent="0.2">
      <c r="A36" s="197"/>
      <c r="B36" s="126" t="s">
        <v>281</v>
      </c>
      <c r="C36" s="131">
        <v>8</v>
      </c>
      <c r="D36" s="140">
        <v>75000</v>
      </c>
      <c r="E36" s="175"/>
    </row>
    <row r="37" spans="1:5" s="121" customFormat="1" ht="21.95" customHeight="1" x14ac:dyDescent="0.2">
      <c r="A37" s="197">
        <v>46357</v>
      </c>
      <c r="B37" s="126" t="s">
        <v>249</v>
      </c>
      <c r="C37" s="131">
        <v>7</v>
      </c>
      <c r="D37" s="131">
        <v>24000</v>
      </c>
      <c r="E37" s="174">
        <v>358000</v>
      </c>
    </row>
    <row r="38" spans="1:5" s="121" customFormat="1" ht="21.95" customHeight="1" x14ac:dyDescent="0.2">
      <c r="A38" s="197"/>
      <c r="B38" s="126" t="s">
        <v>254</v>
      </c>
      <c r="C38" s="131">
        <v>7</v>
      </c>
      <c r="D38" s="131">
        <v>39000</v>
      </c>
      <c r="E38" s="175"/>
    </row>
    <row r="39" spans="1:5" s="121" customFormat="1" ht="21.95" customHeight="1" x14ac:dyDescent="0.2">
      <c r="A39" s="197"/>
      <c r="B39" s="126" t="s">
        <v>264</v>
      </c>
      <c r="C39" s="131">
        <v>8</v>
      </c>
      <c r="D39" s="131">
        <v>22000</v>
      </c>
      <c r="E39" s="175"/>
    </row>
    <row r="40" spans="1:5" s="121" customFormat="1" ht="21.95" customHeight="1" x14ac:dyDescent="0.2">
      <c r="A40" s="197"/>
      <c r="B40" s="126" t="s">
        <v>266</v>
      </c>
      <c r="C40" s="131" t="s">
        <v>267</v>
      </c>
      <c r="D40" s="131">
        <v>102000</v>
      </c>
      <c r="E40" s="175"/>
    </row>
    <row r="41" spans="1:5" s="121" customFormat="1" ht="21.95" customHeight="1" x14ac:dyDescent="0.2">
      <c r="A41" s="197"/>
      <c r="B41" s="126" t="s">
        <v>245</v>
      </c>
      <c r="C41" s="131">
        <v>6</v>
      </c>
      <c r="D41" s="131">
        <v>98000</v>
      </c>
      <c r="E41" s="175"/>
    </row>
    <row r="42" spans="1:5" s="121" customFormat="1" ht="21.95" customHeight="1" x14ac:dyDescent="0.2">
      <c r="A42" s="197"/>
      <c r="B42" s="126" t="s">
        <v>246</v>
      </c>
      <c r="C42" s="131" t="s">
        <v>267</v>
      </c>
      <c r="D42" s="131">
        <v>20000</v>
      </c>
      <c r="E42" s="175"/>
    </row>
    <row r="43" spans="1:5" s="121" customFormat="1" ht="21.95" customHeight="1" x14ac:dyDescent="0.2">
      <c r="A43" s="197"/>
      <c r="B43" s="126" t="s">
        <v>247</v>
      </c>
      <c r="C43" s="131" t="s">
        <v>267</v>
      </c>
      <c r="D43" s="131">
        <v>20000</v>
      </c>
      <c r="E43" s="175"/>
    </row>
    <row r="44" spans="1:5" s="121" customFormat="1" ht="21.95" customHeight="1" x14ac:dyDescent="0.2">
      <c r="A44" s="197"/>
      <c r="B44" s="126" t="s">
        <v>256</v>
      </c>
      <c r="C44" s="131">
        <v>7</v>
      </c>
      <c r="D44" s="131">
        <v>33000</v>
      </c>
      <c r="E44" s="175"/>
    </row>
    <row r="45" spans="1:5" s="121" customFormat="1" ht="21.95" customHeight="1" x14ac:dyDescent="0.2">
      <c r="A45" s="197">
        <v>46388</v>
      </c>
      <c r="B45" s="126" t="s">
        <v>249</v>
      </c>
      <c r="C45" s="131" t="s">
        <v>262</v>
      </c>
      <c r="D45" s="131">
        <v>72000</v>
      </c>
      <c r="E45" s="174">
        <v>288500</v>
      </c>
    </row>
    <row r="46" spans="1:5" s="121" customFormat="1" ht="21.95" customHeight="1" x14ac:dyDescent="0.2">
      <c r="A46" s="197"/>
      <c r="B46" s="126" t="s">
        <v>245</v>
      </c>
      <c r="C46" s="131">
        <v>10</v>
      </c>
      <c r="D46" s="131">
        <v>98000</v>
      </c>
      <c r="E46" s="175"/>
    </row>
    <row r="47" spans="1:5" s="121" customFormat="1" ht="30" customHeight="1" x14ac:dyDescent="0.2">
      <c r="A47" s="197"/>
      <c r="B47" s="129" t="s">
        <v>268</v>
      </c>
      <c r="C47" s="131">
        <v>6</v>
      </c>
      <c r="D47" s="131">
        <v>3500</v>
      </c>
      <c r="E47" s="175"/>
    </row>
    <row r="48" spans="1:5" s="121" customFormat="1" ht="21.95" customHeight="1" x14ac:dyDescent="0.2">
      <c r="A48" s="197"/>
      <c r="B48" s="126" t="s">
        <v>246</v>
      </c>
      <c r="C48" s="131" t="s">
        <v>267</v>
      </c>
      <c r="D48" s="131">
        <v>20000</v>
      </c>
      <c r="E48" s="175"/>
    </row>
    <row r="49" spans="1:5" s="121" customFormat="1" ht="21.95" customHeight="1" x14ac:dyDescent="0.2">
      <c r="A49" s="197"/>
      <c r="B49" s="126" t="s">
        <v>247</v>
      </c>
      <c r="C49" s="131" t="s">
        <v>267</v>
      </c>
      <c r="D49" s="131">
        <v>20000</v>
      </c>
      <c r="E49" s="175"/>
    </row>
    <row r="50" spans="1:5" s="121" customFormat="1" ht="21.95" customHeight="1" x14ac:dyDescent="0.2">
      <c r="A50" s="197"/>
      <c r="B50" s="126" t="s">
        <v>281</v>
      </c>
      <c r="C50" s="131">
        <v>9</v>
      </c>
      <c r="D50" s="131">
        <v>75000</v>
      </c>
      <c r="E50" s="175"/>
    </row>
    <row r="51" spans="1:5" s="121" customFormat="1" ht="21.95" customHeight="1" x14ac:dyDescent="0.2">
      <c r="A51" s="197">
        <v>46419</v>
      </c>
      <c r="B51" s="126" t="s">
        <v>249</v>
      </c>
      <c r="C51" s="131">
        <v>10</v>
      </c>
      <c r="D51" s="131">
        <v>24000</v>
      </c>
      <c r="E51" s="174">
        <v>86000</v>
      </c>
    </row>
    <row r="52" spans="1:5" s="121" customFormat="1" ht="21.95" customHeight="1" x14ac:dyDescent="0.2">
      <c r="A52" s="197"/>
      <c r="B52" s="126" t="s">
        <v>264</v>
      </c>
      <c r="C52" s="131">
        <v>9</v>
      </c>
      <c r="D52" s="131">
        <v>22000</v>
      </c>
      <c r="E52" s="175"/>
    </row>
    <row r="53" spans="1:5" s="121" customFormat="1" ht="21.95" customHeight="1" x14ac:dyDescent="0.2">
      <c r="A53" s="197"/>
      <c r="B53" s="126" t="s">
        <v>246</v>
      </c>
      <c r="C53" s="131" t="s">
        <v>267</v>
      </c>
      <c r="D53" s="131">
        <v>20000</v>
      </c>
      <c r="E53" s="175"/>
    </row>
    <row r="54" spans="1:5" s="121" customFormat="1" ht="21.95" customHeight="1" x14ac:dyDescent="0.2">
      <c r="A54" s="197"/>
      <c r="B54" s="126" t="s">
        <v>247</v>
      </c>
      <c r="C54" s="131" t="s">
        <v>267</v>
      </c>
      <c r="D54" s="131">
        <v>20000</v>
      </c>
      <c r="E54" s="175"/>
    </row>
    <row r="55" spans="1:5" s="121" customFormat="1" ht="21.95" customHeight="1" x14ac:dyDescent="0.2">
      <c r="A55" s="197">
        <v>46447</v>
      </c>
      <c r="B55" s="126" t="s">
        <v>249</v>
      </c>
      <c r="C55" s="131">
        <v>7</v>
      </c>
      <c r="D55" s="131">
        <v>24000</v>
      </c>
      <c r="E55" s="174">
        <v>139000</v>
      </c>
    </row>
    <row r="56" spans="1:5" s="121" customFormat="1" ht="21.95" customHeight="1" x14ac:dyDescent="0.2">
      <c r="A56" s="197"/>
      <c r="B56" s="126" t="s">
        <v>281</v>
      </c>
      <c r="C56" s="131">
        <v>10</v>
      </c>
      <c r="D56" s="131">
        <v>75000</v>
      </c>
      <c r="E56" s="175"/>
    </row>
    <row r="57" spans="1:5" ht="21.95" customHeight="1" x14ac:dyDescent="0.2">
      <c r="A57" s="197"/>
      <c r="B57" s="126" t="s">
        <v>246</v>
      </c>
      <c r="C57" s="131" t="s">
        <v>267</v>
      </c>
      <c r="D57" s="124">
        <v>20000</v>
      </c>
      <c r="E57" s="175"/>
    </row>
    <row r="58" spans="1:5" ht="21.95" customHeight="1" x14ac:dyDescent="0.2">
      <c r="A58" s="197"/>
      <c r="B58" s="126" t="s">
        <v>247</v>
      </c>
      <c r="C58" s="131" t="s">
        <v>267</v>
      </c>
      <c r="D58" s="131">
        <v>20000</v>
      </c>
      <c r="E58" s="175"/>
    </row>
    <row r="59" spans="1:5" ht="21.95" customHeight="1" x14ac:dyDescent="0.2">
      <c r="A59" s="197">
        <v>46478</v>
      </c>
      <c r="B59" s="126" t="s">
        <v>249</v>
      </c>
      <c r="C59" s="131" t="s">
        <v>262</v>
      </c>
      <c r="D59" s="131">
        <v>72000</v>
      </c>
      <c r="E59" s="176">
        <v>212000</v>
      </c>
    </row>
    <row r="60" spans="1:5" ht="21.95" customHeight="1" x14ac:dyDescent="0.2">
      <c r="A60" s="197"/>
      <c r="B60" s="126" t="s">
        <v>254</v>
      </c>
      <c r="C60" s="131" t="s">
        <v>269</v>
      </c>
      <c r="D60" s="131">
        <v>78000</v>
      </c>
      <c r="E60" s="177"/>
    </row>
    <row r="61" spans="1:5" ht="21.95" customHeight="1" x14ac:dyDescent="0.2">
      <c r="A61" s="197"/>
      <c r="B61" s="126" t="s">
        <v>264</v>
      </c>
      <c r="C61" s="131">
        <v>10</v>
      </c>
      <c r="D61" s="131">
        <v>22000</v>
      </c>
      <c r="E61" s="177"/>
    </row>
    <row r="62" spans="1:5" ht="21.95" customHeight="1" x14ac:dyDescent="0.2">
      <c r="A62" s="197"/>
      <c r="B62" s="126" t="s">
        <v>246</v>
      </c>
      <c r="C62" s="131" t="s">
        <v>267</v>
      </c>
      <c r="D62" s="131">
        <v>20000</v>
      </c>
      <c r="E62" s="177"/>
    </row>
    <row r="63" spans="1:5" ht="21.95" customHeight="1" x14ac:dyDescent="0.2">
      <c r="A63" s="197"/>
      <c r="B63" s="126" t="s">
        <v>247</v>
      </c>
      <c r="C63" s="131" t="s">
        <v>267</v>
      </c>
      <c r="D63" s="131">
        <v>20000</v>
      </c>
      <c r="E63" s="177"/>
    </row>
    <row r="64" spans="1:5" ht="21.95" customHeight="1" x14ac:dyDescent="0.2">
      <c r="A64" s="187" t="s">
        <v>257</v>
      </c>
      <c r="B64" s="188"/>
      <c r="C64" s="189"/>
      <c r="D64" s="178">
        <f>SUM(E4:E63)</f>
        <v>2205000</v>
      </c>
      <c r="E64" s="179"/>
    </row>
    <row r="65" spans="1:5" ht="21.95" customHeight="1" x14ac:dyDescent="0.2">
      <c r="A65" s="190"/>
      <c r="B65" s="191"/>
      <c r="C65" s="192"/>
      <c r="D65" s="180"/>
      <c r="E65" s="181"/>
    </row>
  </sheetData>
  <mergeCells count="28">
    <mergeCell ref="E16:E20"/>
    <mergeCell ref="A1:E2"/>
    <mergeCell ref="D3:E3"/>
    <mergeCell ref="E4:E7"/>
    <mergeCell ref="E8:E11"/>
    <mergeCell ref="E12:E15"/>
    <mergeCell ref="A37:A44"/>
    <mergeCell ref="A45:A50"/>
    <mergeCell ref="A8:A11"/>
    <mergeCell ref="A12:A15"/>
    <mergeCell ref="A4:A7"/>
    <mergeCell ref="A16:A20"/>
    <mergeCell ref="A21:A25"/>
    <mergeCell ref="A26:A32"/>
    <mergeCell ref="A33:A36"/>
    <mergeCell ref="E21:E25"/>
    <mergeCell ref="E26:E32"/>
    <mergeCell ref="E33:E36"/>
    <mergeCell ref="E37:E44"/>
    <mergeCell ref="E45:E50"/>
    <mergeCell ref="E51:E54"/>
    <mergeCell ref="E55:E58"/>
    <mergeCell ref="E59:E63"/>
    <mergeCell ref="A64:C65"/>
    <mergeCell ref="D64:E65"/>
    <mergeCell ref="A51:A54"/>
    <mergeCell ref="A55:A58"/>
    <mergeCell ref="A59:A63"/>
  </mergeCells>
  <pageMargins left="0.27" right="0.2" top="0.68" bottom="0" header="0" footer="0"/>
  <pageSetup paperSize="9" scale="85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9"/>
  <sheetViews>
    <sheetView workbookViewId="0">
      <selection activeCell="E109" sqref="E109"/>
    </sheetView>
  </sheetViews>
  <sheetFormatPr defaultRowHeight="14.25" x14ac:dyDescent="0.2"/>
  <cols>
    <col min="5" max="5" width="43.75" customWidth="1"/>
  </cols>
  <sheetData>
    <row r="1" spans="1:5" ht="20.25" x14ac:dyDescent="0.2">
      <c r="A1" s="68" t="s">
        <v>80</v>
      </c>
      <c r="B1" s="69" t="s">
        <v>81</v>
      </c>
      <c r="C1" s="69" t="s">
        <v>82</v>
      </c>
      <c r="D1" s="70" t="s">
        <v>83</v>
      </c>
      <c r="E1" s="70" t="s">
        <v>84</v>
      </c>
    </row>
    <row r="2" spans="1:5" ht="15" x14ac:dyDescent="0.2">
      <c r="A2" s="71"/>
      <c r="B2" s="72"/>
      <c r="C2" s="73"/>
      <c r="D2" s="73"/>
      <c r="E2" s="73"/>
    </row>
    <row r="3" spans="1:5" x14ac:dyDescent="0.2">
      <c r="A3" s="72" t="s">
        <v>85</v>
      </c>
      <c r="B3" s="72" t="s">
        <v>86</v>
      </c>
      <c r="C3" s="72">
        <v>280</v>
      </c>
      <c r="D3" s="72">
        <v>83.3</v>
      </c>
      <c r="E3" s="73" t="s">
        <v>87</v>
      </c>
    </row>
    <row r="4" spans="1:5" x14ac:dyDescent="0.2">
      <c r="A4" s="72"/>
      <c r="B4" s="72"/>
      <c r="C4" s="72"/>
      <c r="D4" s="72"/>
      <c r="E4" s="73" t="s">
        <v>88</v>
      </c>
    </row>
    <row r="5" spans="1:5" x14ac:dyDescent="0.2">
      <c r="A5" s="72"/>
      <c r="B5" s="72"/>
      <c r="C5" s="72"/>
      <c r="D5" s="72"/>
      <c r="E5" s="73"/>
    </row>
    <row r="6" spans="1:5" x14ac:dyDescent="0.2">
      <c r="A6" s="72"/>
      <c r="B6" s="72"/>
      <c r="C6" s="72"/>
      <c r="D6" s="72"/>
      <c r="E6" s="73"/>
    </row>
    <row r="7" spans="1:5" x14ac:dyDescent="0.2">
      <c r="A7" s="72" t="s">
        <v>89</v>
      </c>
      <c r="B7" s="72">
        <v>70</v>
      </c>
      <c r="C7" s="72" t="s">
        <v>86</v>
      </c>
      <c r="D7" s="72">
        <v>97.2</v>
      </c>
      <c r="E7" s="73" t="s">
        <v>90</v>
      </c>
    </row>
    <row r="8" spans="1:5" x14ac:dyDescent="0.2">
      <c r="A8" s="72"/>
      <c r="B8" s="72"/>
      <c r="C8" s="72"/>
      <c r="D8" s="72"/>
      <c r="E8" s="73"/>
    </row>
    <row r="9" spans="1:5" x14ac:dyDescent="0.2">
      <c r="A9" s="72"/>
      <c r="B9" s="72"/>
      <c r="C9" s="72"/>
      <c r="D9" s="72"/>
      <c r="E9" s="73"/>
    </row>
    <row r="10" spans="1:5" x14ac:dyDescent="0.2">
      <c r="A10" s="72"/>
      <c r="B10" s="72"/>
      <c r="C10" s="72"/>
      <c r="D10" s="72"/>
      <c r="E10" s="73"/>
    </row>
    <row r="11" spans="1:5" x14ac:dyDescent="0.2">
      <c r="A11" s="72"/>
      <c r="B11" s="72"/>
      <c r="C11" s="72"/>
      <c r="D11" s="72"/>
      <c r="E11" s="73"/>
    </row>
    <row r="12" spans="1:5" x14ac:dyDescent="0.2">
      <c r="A12" s="72" t="s">
        <v>91</v>
      </c>
      <c r="B12" s="72" t="s">
        <v>86</v>
      </c>
      <c r="C12" s="72" t="s">
        <v>86</v>
      </c>
      <c r="D12" s="72">
        <v>95.1</v>
      </c>
      <c r="E12" s="73"/>
    </row>
    <row r="13" spans="1:5" x14ac:dyDescent="0.2">
      <c r="A13" s="72"/>
      <c r="B13" s="72"/>
      <c r="C13" s="72"/>
      <c r="D13" s="72"/>
      <c r="E13" s="73"/>
    </row>
    <row r="14" spans="1:5" x14ac:dyDescent="0.2">
      <c r="A14" s="72"/>
      <c r="B14" s="72"/>
      <c r="C14" s="72"/>
      <c r="D14" s="72"/>
      <c r="E14" s="73"/>
    </row>
    <row r="15" spans="1:5" x14ac:dyDescent="0.2">
      <c r="A15" s="72" t="s">
        <v>92</v>
      </c>
      <c r="B15" s="72">
        <v>100</v>
      </c>
      <c r="C15" s="72">
        <v>100</v>
      </c>
      <c r="D15" s="74">
        <v>93</v>
      </c>
      <c r="E15" s="73" t="s">
        <v>93</v>
      </c>
    </row>
    <row r="16" spans="1:5" x14ac:dyDescent="0.2">
      <c r="A16" s="72"/>
      <c r="B16" s="72"/>
      <c r="C16" s="72"/>
      <c r="D16" s="72"/>
      <c r="E16" s="73"/>
    </row>
    <row r="17" spans="1:5" x14ac:dyDescent="0.2">
      <c r="A17" s="72"/>
      <c r="B17" s="72"/>
      <c r="C17" s="72"/>
      <c r="D17" s="72"/>
      <c r="E17" s="73"/>
    </row>
    <row r="18" spans="1:5" x14ac:dyDescent="0.2">
      <c r="A18" s="72"/>
      <c r="B18" s="72"/>
      <c r="C18" s="72"/>
      <c r="D18" s="74"/>
      <c r="E18" s="73"/>
    </row>
    <row r="19" spans="1:5" x14ac:dyDescent="0.2">
      <c r="A19" s="72" t="s">
        <v>94</v>
      </c>
      <c r="B19" s="72" t="s">
        <v>86</v>
      </c>
      <c r="C19" s="72">
        <v>185</v>
      </c>
      <c r="D19" s="72">
        <v>87.1</v>
      </c>
      <c r="E19" s="75" t="s">
        <v>95</v>
      </c>
    </row>
    <row r="20" spans="1:5" x14ac:dyDescent="0.2">
      <c r="A20" s="72"/>
      <c r="B20" s="72"/>
      <c r="C20" s="72"/>
      <c r="D20" s="72"/>
      <c r="E20" s="75" t="s">
        <v>96</v>
      </c>
    </row>
    <row r="21" spans="1:5" x14ac:dyDescent="0.2">
      <c r="A21" s="72"/>
      <c r="B21" s="72"/>
      <c r="C21" s="72"/>
      <c r="D21" s="72"/>
      <c r="E21" s="75" t="s">
        <v>97</v>
      </c>
    </row>
    <row r="22" spans="1:5" x14ac:dyDescent="0.2">
      <c r="A22" s="72"/>
      <c r="B22" s="72"/>
      <c r="C22" s="72"/>
      <c r="D22" s="72"/>
      <c r="E22" s="75" t="s">
        <v>98</v>
      </c>
    </row>
    <row r="23" spans="1:5" x14ac:dyDescent="0.2">
      <c r="A23" s="72"/>
      <c r="B23" s="72"/>
      <c r="C23" s="72"/>
      <c r="D23" s="72"/>
      <c r="E23" s="75" t="s">
        <v>99</v>
      </c>
    </row>
    <row r="24" spans="1:5" x14ac:dyDescent="0.2">
      <c r="A24" s="72"/>
      <c r="B24" s="72"/>
      <c r="C24" s="72"/>
      <c r="D24" s="72"/>
      <c r="E24" s="75"/>
    </row>
    <row r="25" spans="1:5" x14ac:dyDescent="0.2">
      <c r="A25" s="72"/>
      <c r="B25" s="72"/>
      <c r="C25" s="72"/>
      <c r="D25" s="72"/>
      <c r="E25" s="75"/>
    </row>
    <row r="26" spans="1:5" x14ac:dyDescent="0.2">
      <c r="A26" s="72"/>
      <c r="B26" s="72"/>
      <c r="C26" s="72"/>
      <c r="D26" s="72"/>
      <c r="E26" s="75"/>
    </row>
    <row r="27" spans="1:5" x14ac:dyDescent="0.2">
      <c r="A27" s="72" t="s">
        <v>100</v>
      </c>
      <c r="B27" s="72" t="s">
        <v>86</v>
      </c>
      <c r="C27" s="72">
        <v>130</v>
      </c>
      <c r="D27" s="72">
        <v>90.97</v>
      </c>
      <c r="E27" s="75" t="s">
        <v>101</v>
      </c>
    </row>
    <row r="28" spans="1:5" x14ac:dyDescent="0.2">
      <c r="A28" s="72"/>
      <c r="B28" s="72"/>
      <c r="C28" s="72"/>
      <c r="D28" s="72"/>
      <c r="E28" s="72" t="s">
        <v>102</v>
      </c>
    </row>
    <row r="29" spans="1:5" x14ac:dyDescent="0.2">
      <c r="A29" s="72"/>
      <c r="B29" s="72"/>
      <c r="C29" s="72"/>
      <c r="D29" s="72"/>
      <c r="E29" s="72"/>
    </row>
    <row r="30" spans="1:5" x14ac:dyDescent="0.2">
      <c r="A30" s="72"/>
      <c r="B30" s="72"/>
      <c r="C30" s="72"/>
      <c r="D30" s="72"/>
      <c r="E30" s="75"/>
    </row>
    <row r="31" spans="1:5" x14ac:dyDescent="0.2">
      <c r="A31" s="72" t="s">
        <v>103</v>
      </c>
      <c r="B31" s="72">
        <v>150</v>
      </c>
      <c r="C31" s="72">
        <v>15</v>
      </c>
      <c r="D31" s="72">
        <v>85.5</v>
      </c>
      <c r="E31" s="75" t="s">
        <v>104</v>
      </c>
    </row>
    <row r="32" spans="1:5" x14ac:dyDescent="0.2">
      <c r="A32" s="72"/>
      <c r="B32" s="72"/>
      <c r="C32" s="72"/>
      <c r="D32" s="72"/>
      <c r="E32" s="75" t="s">
        <v>105</v>
      </c>
    </row>
    <row r="33" spans="1:5" x14ac:dyDescent="0.2">
      <c r="A33" s="72"/>
      <c r="B33" s="72"/>
      <c r="C33" s="72"/>
      <c r="D33" s="72"/>
      <c r="E33" s="75" t="s">
        <v>106</v>
      </c>
    </row>
    <row r="34" spans="1:5" x14ac:dyDescent="0.2">
      <c r="A34" s="72"/>
      <c r="B34" s="72"/>
      <c r="C34" s="72"/>
      <c r="D34" s="72"/>
      <c r="E34" s="72"/>
    </row>
    <row r="35" spans="1:5" x14ac:dyDescent="0.2">
      <c r="A35" s="72"/>
      <c r="B35" s="72"/>
      <c r="C35" s="72"/>
      <c r="D35" s="72"/>
      <c r="E35" s="72"/>
    </row>
    <row r="36" spans="1:5" x14ac:dyDescent="0.2">
      <c r="A36" s="72"/>
      <c r="B36" s="72"/>
      <c r="C36" s="72"/>
      <c r="D36" s="72"/>
      <c r="E36" s="75"/>
    </row>
    <row r="37" spans="1:5" x14ac:dyDescent="0.2">
      <c r="A37" s="72" t="s">
        <v>107</v>
      </c>
      <c r="B37" s="72">
        <v>160</v>
      </c>
      <c r="C37" s="72">
        <v>45</v>
      </c>
      <c r="D37" s="72">
        <v>85.7</v>
      </c>
      <c r="E37" s="75" t="s">
        <v>108</v>
      </c>
    </row>
    <row r="38" spans="1:5" x14ac:dyDescent="0.2">
      <c r="A38" s="72"/>
      <c r="B38" s="72"/>
      <c r="C38" s="72"/>
      <c r="D38" s="72"/>
      <c r="E38" s="75" t="s">
        <v>109</v>
      </c>
    </row>
    <row r="39" spans="1:5" x14ac:dyDescent="0.2">
      <c r="A39" s="72"/>
      <c r="B39" s="72"/>
      <c r="C39" s="72"/>
      <c r="D39" s="72"/>
      <c r="E39" s="75" t="s">
        <v>110</v>
      </c>
    </row>
    <row r="40" spans="1:5" x14ac:dyDescent="0.2">
      <c r="A40" s="72"/>
      <c r="B40" s="72"/>
      <c r="C40" s="72"/>
      <c r="D40" s="72"/>
      <c r="E40" s="75" t="s">
        <v>111</v>
      </c>
    </row>
    <row r="41" spans="1:5" x14ac:dyDescent="0.2">
      <c r="A41" s="72"/>
      <c r="B41" s="72"/>
      <c r="C41" s="72"/>
      <c r="D41" s="72"/>
      <c r="E41" s="75" t="s">
        <v>112</v>
      </c>
    </row>
    <row r="42" spans="1:5" x14ac:dyDescent="0.2">
      <c r="A42" s="72"/>
      <c r="B42" s="72"/>
      <c r="C42" s="72"/>
      <c r="D42" s="72"/>
      <c r="E42" s="75"/>
    </row>
    <row r="43" spans="1:5" x14ac:dyDescent="0.2">
      <c r="A43" s="72" t="s">
        <v>113</v>
      </c>
      <c r="B43" s="72">
        <v>250</v>
      </c>
      <c r="C43" s="72">
        <v>40</v>
      </c>
      <c r="D43" s="72">
        <v>86.8</v>
      </c>
      <c r="E43" s="75" t="s">
        <v>114</v>
      </c>
    </row>
    <row r="44" spans="1:5" x14ac:dyDescent="0.2">
      <c r="A44" s="72"/>
      <c r="B44" s="72"/>
      <c r="C44" s="72"/>
      <c r="D44" s="72"/>
      <c r="E44" s="75" t="s">
        <v>115</v>
      </c>
    </row>
    <row r="45" spans="1:5" x14ac:dyDescent="0.2">
      <c r="A45" s="72"/>
      <c r="B45" s="72"/>
      <c r="C45" s="72"/>
      <c r="D45" s="72"/>
      <c r="E45" s="75" t="s">
        <v>116</v>
      </c>
    </row>
    <row r="46" spans="1:5" x14ac:dyDescent="0.2">
      <c r="A46" s="72"/>
      <c r="B46" s="72"/>
      <c r="C46" s="72"/>
      <c r="D46" s="72"/>
      <c r="E46" s="75"/>
    </row>
    <row r="47" spans="1:5" x14ac:dyDescent="0.2">
      <c r="A47" s="72"/>
      <c r="B47" s="72"/>
      <c r="C47" s="72"/>
      <c r="D47" s="72"/>
      <c r="E47" s="75"/>
    </row>
    <row r="48" spans="1:5" x14ac:dyDescent="0.2">
      <c r="A48" s="72" t="s">
        <v>117</v>
      </c>
      <c r="B48" s="72"/>
      <c r="C48" s="72">
        <v>50</v>
      </c>
      <c r="D48" s="72">
        <v>84.2</v>
      </c>
      <c r="E48" s="75" t="s">
        <v>118</v>
      </c>
    </row>
    <row r="49" spans="1:5" x14ac:dyDescent="0.2">
      <c r="A49" s="72"/>
      <c r="B49" s="72">
        <v>180</v>
      </c>
      <c r="C49" s="72"/>
      <c r="D49" s="72"/>
      <c r="E49" s="75" t="s">
        <v>119</v>
      </c>
    </row>
    <row r="50" spans="1:5" x14ac:dyDescent="0.2">
      <c r="A50" s="72"/>
      <c r="B50" s="72"/>
      <c r="C50" s="72"/>
      <c r="D50" s="72"/>
      <c r="E50" s="75" t="s">
        <v>120</v>
      </c>
    </row>
    <row r="51" spans="1:5" x14ac:dyDescent="0.2">
      <c r="A51" s="72"/>
      <c r="B51" s="72"/>
      <c r="C51" s="72"/>
      <c r="D51" s="72"/>
      <c r="E51" s="72"/>
    </row>
    <row r="52" spans="1:5" x14ac:dyDescent="0.2">
      <c r="A52" s="72"/>
      <c r="B52" s="72"/>
      <c r="C52" s="72"/>
      <c r="D52" s="72"/>
      <c r="E52" s="75"/>
    </row>
    <row r="53" spans="1:5" x14ac:dyDescent="0.2">
      <c r="A53" s="72"/>
      <c r="B53" s="72"/>
      <c r="C53" s="72"/>
      <c r="D53" s="72"/>
      <c r="E53" s="75"/>
    </row>
    <row r="54" spans="1:5" x14ac:dyDescent="0.2">
      <c r="A54" s="72"/>
      <c r="B54" s="72"/>
      <c r="C54" s="72"/>
      <c r="D54" s="72"/>
      <c r="E54" s="75"/>
    </row>
    <row r="55" spans="1:5" x14ac:dyDescent="0.2">
      <c r="A55" s="72" t="s">
        <v>121</v>
      </c>
      <c r="B55" s="72">
        <v>180</v>
      </c>
      <c r="C55" s="72">
        <v>60</v>
      </c>
      <c r="D55" s="72">
        <v>83.2</v>
      </c>
      <c r="E55" s="75" t="s">
        <v>122</v>
      </c>
    </row>
    <row r="56" spans="1:5" x14ac:dyDescent="0.2">
      <c r="A56" s="72"/>
      <c r="B56" s="72"/>
      <c r="C56" s="72"/>
      <c r="D56" s="72"/>
      <c r="E56" s="72" t="s">
        <v>123</v>
      </c>
    </row>
    <row r="57" spans="1:5" x14ac:dyDescent="0.2">
      <c r="A57" s="72"/>
      <c r="B57" s="72"/>
      <c r="C57" s="72"/>
      <c r="D57" s="72"/>
      <c r="E57" s="76" t="s">
        <v>124</v>
      </c>
    </row>
    <row r="58" spans="1:5" x14ac:dyDescent="0.2">
      <c r="A58" s="72"/>
      <c r="B58" s="72"/>
      <c r="C58" s="72"/>
      <c r="D58" s="72"/>
      <c r="E58" s="72"/>
    </row>
    <row r="59" spans="1:5" x14ac:dyDescent="0.2">
      <c r="A59" s="72"/>
      <c r="B59" s="72"/>
      <c r="C59" s="72"/>
      <c r="D59" s="72"/>
      <c r="E59" s="72"/>
    </row>
    <row r="60" spans="1:5" x14ac:dyDescent="0.2">
      <c r="A60" s="72"/>
      <c r="B60" s="72"/>
      <c r="C60" s="72"/>
      <c r="D60" s="72"/>
      <c r="E60" s="76"/>
    </row>
    <row r="61" spans="1:5" x14ac:dyDescent="0.2">
      <c r="A61" s="72"/>
      <c r="B61" s="72"/>
      <c r="C61" s="72"/>
      <c r="D61" s="72"/>
      <c r="E61" s="72"/>
    </row>
    <row r="62" spans="1:5" x14ac:dyDescent="0.2">
      <c r="A62" s="72" t="s">
        <v>125</v>
      </c>
      <c r="B62" s="72" t="s">
        <v>86</v>
      </c>
      <c r="C62" s="72">
        <v>20</v>
      </c>
      <c r="D62" s="72">
        <v>98.6</v>
      </c>
      <c r="E62" s="75" t="s">
        <v>126</v>
      </c>
    </row>
    <row r="63" spans="1:5" x14ac:dyDescent="0.2">
      <c r="A63" s="72"/>
      <c r="B63" s="72"/>
      <c r="C63" s="72"/>
      <c r="D63" s="72"/>
      <c r="E63" s="75"/>
    </row>
    <row r="64" spans="1:5" x14ac:dyDescent="0.2">
      <c r="A64" s="72"/>
      <c r="B64" s="72"/>
      <c r="C64" s="72"/>
      <c r="D64" s="72"/>
      <c r="E64" s="75"/>
    </row>
    <row r="65" spans="1:5" x14ac:dyDescent="0.2">
      <c r="A65" s="72"/>
      <c r="B65" s="72"/>
      <c r="C65" s="72"/>
      <c r="D65" s="72"/>
      <c r="E65" s="72"/>
    </row>
    <row r="66" spans="1:5" x14ac:dyDescent="0.2">
      <c r="A66" s="72" t="s">
        <v>127</v>
      </c>
      <c r="B66" s="72">
        <v>130</v>
      </c>
      <c r="C66" s="72" t="s">
        <v>86</v>
      </c>
      <c r="D66" s="72">
        <v>90.9</v>
      </c>
      <c r="E66" s="75" t="s">
        <v>128</v>
      </c>
    </row>
    <row r="67" spans="1:5" x14ac:dyDescent="0.2">
      <c r="A67" s="72"/>
      <c r="B67" s="72"/>
      <c r="C67" s="72"/>
      <c r="D67" s="72"/>
      <c r="E67" s="72"/>
    </row>
    <row r="68" spans="1:5" x14ac:dyDescent="0.2">
      <c r="A68" s="72"/>
      <c r="B68" s="72"/>
      <c r="C68" s="72"/>
      <c r="D68" s="72"/>
      <c r="E68" s="72"/>
    </row>
    <row r="69" spans="1:5" x14ac:dyDescent="0.2">
      <c r="A69" s="72"/>
      <c r="B69" s="72"/>
      <c r="C69" s="72"/>
      <c r="D69" s="72"/>
      <c r="E69" s="75"/>
    </row>
    <row r="70" spans="1:5" x14ac:dyDescent="0.2">
      <c r="A70" s="72"/>
      <c r="B70" s="72"/>
      <c r="C70" s="72"/>
      <c r="D70" s="72"/>
      <c r="E70" s="72"/>
    </row>
    <row r="71" spans="1:5" x14ac:dyDescent="0.2">
      <c r="A71" s="72" t="s">
        <v>129</v>
      </c>
      <c r="B71" s="72">
        <v>225</v>
      </c>
      <c r="C71" s="72" t="s">
        <v>86</v>
      </c>
      <c r="D71" s="72">
        <v>84.3</v>
      </c>
      <c r="E71" s="75" t="s">
        <v>130</v>
      </c>
    </row>
    <row r="72" spans="1:5" x14ac:dyDescent="0.2">
      <c r="A72" s="72"/>
      <c r="B72" s="72"/>
      <c r="C72" s="72"/>
      <c r="D72" s="72"/>
      <c r="E72" s="72"/>
    </row>
    <row r="73" spans="1:5" x14ac:dyDescent="0.2">
      <c r="A73" s="72"/>
      <c r="B73" s="72"/>
      <c r="C73" s="72"/>
      <c r="D73" s="72"/>
      <c r="E73" s="75"/>
    </row>
    <row r="74" spans="1:5" x14ac:dyDescent="0.2">
      <c r="A74" s="72"/>
      <c r="B74" s="72"/>
      <c r="C74" s="72"/>
      <c r="D74" s="72"/>
      <c r="E74" s="72"/>
    </row>
    <row r="75" spans="1:5" x14ac:dyDescent="0.2">
      <c r="A75" s="72" t="s">
        <v>131</v>
      </c>
      <c r="B75" s="72">
        <v>240</v>
      </c>
      <c r="C75" s="72">
        <v>48</v>
      </c>
      <c r="D75" s="74">
        <v>80</v>
      </c>
      <c r="E75" s="75" t="s">
        <v>132</v>
      </c>
    </row>
    <row r="76" spans="1:5" x14ac:dyDescent="0.2">
      <c r="A76" s="72"/>
      <c r="B76" s="72"/>
      <c r="C76" s="72"/>
      <c r="D76" s="72"/>
      <c r="E76" s="75" t="s">
        <v>133</v>
      </c>
    </row>
    <row r="77" spans="1:5" x14ac:dyDescent="0.2">
      <c r="A77" s="72"/>
      <c r="B77" s="72"/>
      <c r="C77" s="72"/>
      <c r="D77" s="72"/>
      <c r="E77" s="72"/>
    </row>
    <row r="78" spans="1:5" x14ac:dyDescent="0.2">
      <c r="A78" s="72"/>
      <c r="B78" s="72"/>
      <c r="C78" s="72"/>
      <c r="D78" s="72"/>
      <c r="E78" s="72"/>
    </row>
    <row r="79" spans="1:5" x14ac:dyDescent="0.2">
      <c r="A79" s="72" t="s">
        <v>134</v>
      </c>
      <c r="B79" s="72">
        <v>265</v>
      </c>
      <c r="C79" s="72" t="s">
        <v>86</v>
      </c>
      <c r="D79" s="72">
        <v>81.5</v>
      </c>
      <c r="E79" s="75" t="s">
        <v>135</v>
      </c>
    </row>
    <row r="80" spans="1:5" x14ac:dyDescent="0.2">
      <c r="A80" s="72"/>
      <c r="B80" s="72"/>
      <c r="C80" s="72"/>
      <c r="D80" s="72"/>
      <c r="E80" s="75" t="s">
        <v>136</v>
      </c>
    </row>
    <row r="81" spans="1:5" x14ac:dyDescent="0.2">
      <c r="A81" s="72"/>
      <c r="B81" s="72"/>
      <c r="C81" s="72"/>
      <c r="D81" s="72"/>
      <c r="E81" s="72"/>
    </row>
    <row r="82" spans="1:5" x14ac:dyDescent="0.2">
      <c r="A82" s="72"/>
      <c r="B82" s="72"/>
      <c r="C82" s="72"/>
      <c r="D82" s="72"/>
      <c r="E82" s="72"/>
    </row>
    <row r="83" spans="1:5" x14ac:dyDescent="0.2">
      <c r="A83" s="72" t="s">
        <v>137</v>
      </c>
      <c r="B83" s="72">
        <v>150</v>
      </c>
      <c r="C83" s="72" t="s">
        <v>86</v>
      </c>
      <c r="D83" s="72">
        <v>89.5</v>
      </c>
      <c r="E83" s="75" t="s">
        <v>138</v>
      </c>
    </row>
    <row r="84" spans="1:5" x14ac:dyDescent="0.2">
      <c r="A84" s="72"/>
      <c r="B84" s="72"/>
      <c r="C84" s="72"/>
      <c r="D84" s="72"/>
      <c r="E84" s="72"/>
    </row>
    <row r="85" spans="1:5" x14ac:dyDescent="0.2">
      <c r="A85" s="72" t="s">
        <v>139</v>
      </c>
      <c r="B85" s="72" t="s">
        <v>86</v>
      </c>
      <c r="C85" s="72" t="s">
        <v>86</v>
      </c>
      <c r="D85" s="72">
        <v>100</v>
      </c>
      <c r="E85" s="72"/>
    </row>
    <row r="86" spans="1:5" x14ac:dyDescent="0.2">
      <c r="A86" s="72"/>
      <c r="B86" s="72"/>
      <c r="C86" s="72"/>
      <c r="D86" s="72"/>
      <c r="E86" s="72"/>
    </row>
    <row r="87" spans="1:5" x14ac:dyDescent="0.2">
      <c r="A87" s="72" t="s">
        <v>140</v>
      </c>
      <c r="B87" s="72" t="s">
        <v>86</v>
      </c>
      <c r="C87" s="72" t="s">
        <v>86</v>
      </c>
      <c r="D87" s="72">
        <v>100</v>
      </c>
      <c r="E87" s="72"/>
    </row>
    <row r="88" spans="1:5" x14ac:dyDescent="0.2">
      <c r="A88" s="72"/>
      <c r="B88" s="72"/>
      <c r="C88" s="72"/>
      <c r="D88" s="72"/>
      <c r="E88" s="72"/>
    </row>
    <row r="89" spans="1:5" x14ac:dyDescent="0.2">
      <c r="A89" s="72" t="s">
        <v>141</v>
      </c>
      <c r="B89" s="72">
        <v>30</v>
      </c>
      <c r="C89" s="72" t="s">
        <v>86</v>
      </c>
      <c r="D89" s="72">
        <v>97.9</v>
      </c>
      <c r="E89" s="72" t="s">
        <v>142</v>
      </c>
    </row>
    <row r="90" spans="1:5" x14ac:dyDescent="0.2">
      <c r="A90" s="72"/>
      <c r="B90" s="72"/>
      <c r="C90" s="72"/>
      <c r="D90" s="72"/>
      <c r="E90" s="72"/>
    </row>
    <row r="91" spans="1:5" x14ac:dyDescent="0.2">
      <c r="A91" s="72" t="s">
        <v>143</v>
      </c>
      <c r="B91" s="72">
        <v>225</v>
      </c>
      <c r="C91" s="72" t="s">
        <v>86</v>
      </c>
      <c r="D91" s="72">
        <v>84.3</v>
      </c>
      <c r="E91" s="75" t="s">
        <v>144</v>
      </c>
    </row>
    <row r="92" spans="1:5" x14ac:dyDescent="0.2">
      <c r="A92" s="73"/>
      <c r="B92" s="72"/>
      <c r="C92" s="72"/>
      <c r="D92" s="72"/>
      <c r="E92" s="75" t="s">
        <v>145</v>
      </c>
    </row>
    <row r="93" spans="1:5" x14ac:dyDescent="0.2">
      <c r="A93" s="73"/>
      <c r="B93" s="72"/>
      <c r="C93" s="72"/>
      <c r="D93" s="72"/>
      <c r="E93" s="72"/>
    </row>
    <row r="94" spans="1:5" x14ac:dyDescent="0.2">
      <c r="A94" s="73"/>
      <c r="B94" s="72"/>
      <c r="C94" s="72"/>
      <c r="D94" s="72"/>
      <c r="E94" s="72"/>
    </row>
    <row r="95" spans="1:5" x14ac:dyDescent="0.2">
      <c r="A95" s="72" t="s">
        <v>146</v>
      </c>
      <c r="B95" s="72">
        <v>150</v>
      </c>
      <c r="C95" s="72" t="s">
        <v>86</v>
      </c>
      <c r="D95" s="72">
        <v>89.5</v>
      </c>
      <c r="E95" s="75" t="s">
        <v>147</v>
      </c>
    </row>
    <row r="96" spans="1:5" x14ac:dyDescent="0.2">
      <c r="A96" s="72"/>
      <c r="B96" s="72"/>
      <c r="C96" s="72"/>
      <c r="D96" s="72"/>
      <c r="E96" s="72"/>
    </row>
    <row r="97" spans="1:5" x14ac:dyDescent="0.2">
      <c r="A97" s="72"/>
      <c r="B97" s="72"/>
      <c r="C97" s="72"/>
      <c r="D97" s="72"/>
      <c r="E97" s="72"/>
    </row>
    <row r="98" spans="1:5" x14ac:dyDescent="0.2">
      <c r="A98" s="72" t="s">
        <v>148</v>
      </c>
      <c r="B98" s="72">
        <v>335</v>
      </c>
      <c r="C98" s="72" t="s">
        <v>86</v>
      </c>
      <c r="D98" s="72">
        <v>76.7</v>
      </c>
      <c r="E98" s="76" t="s">
        <v>149</v>
      </c>
    </row>
    <row r="99" spans="1:5" x14ac:dyDescent="0.2">
      <c r="A99" s="72"/>
      <c r="B99" s="72"/>
      <c r="C99" s="72"/>
      <c r="D99" s="72"/>
      <c r="E99" s="75" t="s">
        <v>150</v>
      </c>
    </row>
    <row r="100" spans="1:5" x14ac:dyDescent="0.2">
      <c r="A100" s="72"/>
      <c r="B100" s="72"/>
      <c r="C100" s="72"/>
      <c r="D100" s="72"/>
      <c r="E100" s="72" t="s">
        <v>151</v>
      </c>
    </row>
    <row r="101" spans="1:5" x14ac:dyDescent="0.2">
      <c r="A101" s="72"/>
      <c r="B101" s="72"/>
      <c r="C101" s="72"/>
      <c r="D101" s="72"/>
      <c r="E101" s="72"/>
    </row>
    <row r="102" spans="1:5" x14ac:dyDescent="0.2">
      <c r="A102" s="72" t="s">
        <v>152</v>
      </c>
      <c r="B102" s="72">
        <v>100</v>
      </c>
      <c r="C102" s="72" t="s">
        <v>86</v>
      </c>
      <c r="D102" s="74">
        <v>93</v>
      </c>
      <c r="E102" s="73" t="s">
        <v>153</v>
      </c>
    </row>
    <row r="103" spans="1:5" x14ac:dyDescent="0.2">
      <c r="A103" s="72"/>
      <c r="B103" s="72"/>
      <c r="C103" s="72"/>
      <c r="D103" s="72"/>
      <c r="E103" s="72"/>
    </row>
    <row r="104" spans="1:5" x14ac:dyDescent="0.2">
      <c r="A104" s="72"/>
      <c r="B104" s="72"/>
      <c r="C104" s="72"/>
      <c r="D104" s="72"/>
      <c r="E104" s="72"/>
    </row>
    <row r="105" spans="1:5" x14ac:dyDescent="0.2">
      <c r="A105" s="72" t="s">
        <v>154</v>
      </c>
      <c r="B105" s="72">
        <v>200</v>
      </c>
      <c r="C105" s="72">
        <v>25</v>
      </c>
      <c r="D105" s="72">
        <v>84.3</v>
      </c>
      <c r="E105" s="75" t="s">
        <v>155</v>
      </c>
    </row>
    <row r="106" spans="1:5" x14ac:dyDescent="0.2">
      <c r="A106" s="72"/>
      <c r="B106" s="72"/>
      <c r="C106" s="72"/>
      <c r="D106" s="72"/>
      <c r="E106" s="76" t="s">
        <v>156</v>
      </c>
    </row>
    <row r="107" spans="1:5" x14ac:dyDescent="0.2">
      <c r="A107" s="73"/>
      <c r="B107" s="72"/>
      <c r="C107" s="72"/>
      <c r="D107" s="72"/>
      <c r="E107" s="72"/>
    </row>
    <row r="108" spans="1:5" x14ac:dyDescent="0.2">
      <c r="A108" s="73"/>
      <c r="B108" s="72"/>
      <c r="C108" s="72"/>
      <c r="D108" s="72"/>
      <c r="E108" s="72"/>
    </row>
    <row r="109" spans="1:5" x14ac:dyDescent="0.2">
      <c r="A109" s="72" t="s">
        <v>157</v>
      </c>
      <c r="B109" s="72" t="s">
        <v>86</v>
      </c>
      <c r="C109" s="72" t="s">
        <v>86</v>
      </c>
      <c r="D109" s="72">
        <v>100</v>
      </c>
      <c r="E109" s="7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21"/>
  <sheetViews>
    <sheetView tabSelected="1" topLeftCell="A7" workbookViewId="0">
      <selection sqref="A1:O15"/>
    </sheetView>
  </sheetViews>
  <sheetFormatPr defaultRowHeight="14.25" x14ac:dyDescent="0.2"/>
  <cols>
    <col min="1" max="1" width="4.5" customWidth="1"/>
    <col min="2" max="2" width="7.125" customWidth="1"/>
    <col min="3" max="3" width="34.5" style="150" customWidth="1"/>
    <col min="4" max="4" width="6.75" customWidth="1"/>
    <col min="5" max="6" width="6.875" customWidth="1"/>
    <col min="7" max="7" width="7.125" customWidth="1"/>
    <col min="8" max="13" width="6.875" customWidth="1"/>
    <col min="14" max="15" width="8" customWidth="1"/>
  </cols>
  <sheetData>
    <row r="1" spans="1:15" ht="36.950000000000003" customHeight="1" x14ac:dyDescent="0.2">
      <c r="A1" s="206" t="s">
        <v>284</v>
      </c>
      <c r="B1" s="207"/>
      <c r="C1" s="207"/>
      <c r="D1" s="207"/>
      <c r="E1" s="207"/>
      <c r="F1" s="207"/>
      <c r="G1" s="207"/>
      <c r="H1" s="207"/>
      <c r="I1" s="207"/>
      <c r="J1" s="207"/>
      <c r="K1" s="207"/>
      <c r="L1" s="207"/>
      <c r="M1" s="207"/>
      <c r="N1" s="207"/>
      <c r="O1" s="208"/>
    </row>
    <row r="2" spans="1:15" s="117" customFormat="1" ht="36.950000000000003" customHeight="1" x14ac:dyDescent="0.2">
      <c r="A2" s="151" t="s">
        <v>285</v>
      </c>
      <c r="B2" s="142" t="s">
        <v>286</v>
      </c>
      <c r="C2" s="142" t="s">
        <v>287</v>
      </c>
      <c r="D2" s="143">
        <v>46143</v>
      </c>
      <c r="E2" s="143">
        <v>46174</v>
      </c>
      <c r="F2" s="143">
        <v>46204</v>
      </c>
      <c r="G2" s="143">
        <v>46235</v>
      </c>
      <c r="H2" s="143">
        <v>46266</v>
      </c>
      <c r="I2" s="143">
        <v>46296</v>
      </c>
      <c r="J2" s="143">
        <v>46327</v>
      </c>
      <c r="K2" s="143">
        <v>46357</v>
      </c>
      <c r="L2" s="143">
        <v>46388</v>
      </c>
      <c r="M2" s="143">
        <v>46419</v>
      </c>
      <c r="N2" s="144">
        <v>46447</v>
      </c>
      <c r="O2" s="152">
        <v>46478</v>
      </c>
    </row>
    <row r="3" spans="1:15" ht="36.950000000000003" customHeight="1" x14ac:dyDescent="0.2">
      <c r="A3" s="153">
        <v>1</v>
      </c>
      <c r="B3" s="146" t="s">
        <v>288</v>
      </c>
      <c r="C3" s="149" t="s">
        <v>289</v>
      </c>
      <c r="D3" s="147" t="s">
        <v>275</v>
      </c>
      <c r="E3" s="147" t="s">
        <v>275</v>
      </c>
      <c r="F3" s="147" t="s">
        <v>275</v>
      </c>
      <c r="G3" s="147" t="s">
        <v>275</v>
      </c>
      <c r="H3" s="147" t="s">
        <v>275</v>
      </c>
      <c r="I3" s="147" t="s">
        <v>275</v>
      </c>
      <c r="J3" s="147" t="s">
        <v>275</v>
      </c>
      <c r="K3" s="147" t="s">
        <v>275</v>
      </c>
      <c r="L3" s="147" t="s">
        <v>275</v>
      </c>
      <c r="M3" s="147" t="s">
        <v>275</v>
      </c>
      <c r="N3" s="147" t="s">
        <v>275</v>
      </c>
      <c r="O3" s="154" t="s">
        <v>275</v>
      </c>
    </row>
    <row r="4" spans="1:15" ht="36.950000000000003" customHeight="1" x14ac:dyDescent="0.2">
      <c r="A4" s="153">
        <v>2</v>
      </c>
      <c r="B4" s="146" t="s">
        <v>290</v>
      </c>
      <c r="C4" s="149" t="s">
        <v>253</v>
      </c>
      <c r="D4" s="148"/>
      <c r="E4" s="148"/>
      <c r="F4" s="148"/>
      <c r="G4" s="148"/>
      <c r="H4" s="148"/>
      <c r="I4" s="148"/>
      <c r="J4" s="147" t="s">
        <v>274</v>
      </c>
      <c r="K4" s="148"/>
      <c r="L4" s="148"/>
      <c r="M4" s="148">
        <v>1</v>
      </c>
      <c r="N4" s="145"/>
      <c r="O4" s="155"/>
    </row>
    <row r="5" spans="1:15" ht="36.950000000000003" customHeight="1" x14ac:dyDescent="0.2">
      <c r="A5" s="153">
        <v>3</v>
      </c>
      <c r="B5" s="146" t="s">
        <v>290</v>
      </c>
      <c r="C5" s="149" t="s">
        <v>248</v>
      </c>
      <c r="D5" s="148"/>
      <c r="E5" s="147" t="s">
        <v>259</v>
      </c>
      <c r="F5" s="148">
        <v>3</v>
      </c>
      <c r="G5" s="148"/>
      <c r="H5" s="147" t="s">
        <v>258</v>
      </c>
      <c r="I5" s="148"/>
      <c r="J5" s="148"/>
      <c r="K5" s="148"/>
      <c r="L5" s="148"/>
      <c r="M5" s="148"/>
      <c r="N5" s="145"/>
      <c r="O5" s="155"/>
    </row>
    <row r="6" spans="1:15" ht="36.950000000000003" customHeight="1" x14ac:dyDescent="0.2">
      <c r="A6" s="153">
        <v>4</v>
      </c>
      <c r="B6" s="146" t="s">
        <v>290</v>
      </c>
      <c r="C6" s="149" t="s">
        <v>292</v>
      </c>
      <c r="D6" s="148"/>
      <c r="E6" s="148"/>
      <c r="F6" s="148"/>
      <c r="G6" s="148"/>
      <c r="H6" s="148"/>
      <c r="I6" s="148"/>
      <c r="J6" s="148"/>
      <c r="K6" s="148"/>
      <c r="L6" s="147" t="s">
        <v>275</v>
      </c>
      <c r="M6" s="148"/>
      <c r="N6" s="145"/>
      <c r="O6" s="155"/>
    </row>
    <row r="7" spans="1:15" ht="36.950000000000003" customHeight="1" x14ac:dyDescent="0.2">
      <c r="A7" s="153">
        <v>5</v>
      </c>
      <c r="B7" s="146" t="s">
        <v>290</v>
      </c>
      <c r="C7" s="149" t="s">
        <v>266</v>
      </c>
      <c r="D7" s="147" t="s">
        <v>258</v>
      </c>
      <c r="E7" s="148"/>
      <c r="F7" s="148"/>
      <c r="G7" s="148"/>
      <c r="H7" s="148"/>
      <c r="I7" s="148"/>
      <c r="J7" s="148"/>
      <c r="K7" s="148"/>
      <c r="L7" s="148"/>
      <c r="M7" s="148"/>
      <c r="N7" s="145">
        <v>2</v>
      </c>
      <c r="O7" s="156" t="s">
        <v>280</v>
      </c>
    </row>
    <row r="8" spans="1:15" ht="36.950000000000003" customHeight="1" x14ac:dyDescent="0.2">
      <c r="A8" s="153">
        <v>6</v>
      </c>
      <c r="B8" s="146" t="s">
        <v>290</v>
      </c>
      <c r="C8" s="149" t="s">
        <v>254</v>
      </c>
      <c r="D8" s="148"/>
      <c r="E8" s="148"/>
      <c r="F8" s="148"/>
      <c r="G8" s="148"/>
      <c r="H8" s="148"/>
      <c r="I8" s="148"/>
      <c r="J8" s="148"/>
      <c r="K8" s="148"/>
      <c r="L8" s="147" t="s">
        <v>276</v>
      </c>
      <c r="M8" s="148">
        <v>2</v>
      </c>
      <c r="N8" s="146" t="s">
        <v>279</v>
      </c>
      <c r="O8" s="155"/>
    </row>
    <row r="9" spans="1:15" ht="36.950000000000003" customHeight="1" x14ac:dyDescent="0.2">
      <c r="A9" s="153">
        <v>7</v>
      </c>
      <c r="B9" s="146" t="s">
        <v>290</v>
      </c>
      <c r="C9" s="149" t="s">
        <v>256</v>
      </c>
      <c r="D9" s="148"/>
      <c r="E9" s="148"/>
      <c r="F9" s="148"/>
      <c r="G9" s="148"/>
      <c r="H9" s="148"/>
      <c r="I9" s="148"/>
      <c r="J9" s="148"/>
      <c r="K9" s="148"/>
      <c r="L9" s="147" t="s">
        <v>276</v>
      </c>
      <c r="M9" s="148">
        <v>2</v>
      </c>
      <c r="N9" s="146" t="s">
        <v>279</v>
      </c>
      <c r="O9" s="155"/>
    </row>
    <row r="10" spans="1:15" ht="36.950000000000003" customHeight="1" x14ac:dyDescent="0.2">
      <c r="A10" s="153">
        <v>8</v>
      </c>
      <c r="B10" s="146" t="s">
        <v>293</v>
      </c>
      <c r="C10" s="149" t="s">
        <v>294</v>
      </c>
      <c r="D10" s="148"/>
      <c r="E10" s="148"/>
      <c r="F10" s="148"/>
      <c r="G10" s="148"/>
      <c r="H10" s="148"/>
      <c r="I10" s="148"/>
      <c r="J10" s="148"/>
      <c r="K10" s="148"/>
      <c r="L10" s="148"/>
      <c r="M10" s="148">
        <v>2</v>
      </c>
      <c r="N10" s="145">
        <v>3</v>
      </c>
      <c r="O10" s="156" t="s">
        <v>258</v>
      </c>
    </row>
    <row r="11" spans="1:15" ht="36.950000000000003" customHeight="1" x14ac:dyDescent="0.2">
      <c r="A11" s="153">
        <v>9</v>
      </c>
      <c r="B11" s="146" t="s">
        <v>293</v>
      </c>
      <c r="C11" s="149" t="s">
        <v>277</v>
      </c>
      <c r="D11" s="148"/>
      <c r="E11" s="148"/>
      <c r="F11" s="148"/>
      <c r="G11" s="148"/>
      <c r="H11" s="148"/>
      <c r="I11" s="148"/>
      <c r="J11" s="148"/>
      <c r="K11" s="148"/>
      <c r="L11" s="148">
        <v>1</v>
      </c>
      <c r="M11" s="148">
        <v>2</v>
      </c>
      <c r="N11" s="145">
        <v>3</v>
      </c>
      <c r="O11" s="155">
        <v>4</v>
      </c>
    </row>
    <row r="12" spans="1:15" ht="36.950000000000003" customHeight="1" x14ac:dyDescent="0.2">
      <c r="A12" s="153">
        <v>10</v>
      </c>
      <c r="B12" s="146" t="s">
        <v>295</v>
      </c>
      <c r="C12" s="149" t="s">
        <v>249</v>
      </c>
      <c r="D12" s="148"/>
      <c r="E12" s="147" t="s">
        <v>270</v>
      </c>
      <c r="F12" s="148">
        <v>5</v>
      </c>
      <c r="G12" s="147" t="s">
        <v>272</v>
      </c>
      <c r="H12" s="147" t="s">
        <v>270</v>
      </c>
      <c r="I12" s="148">
        <v>5</v>
      </c>
      <c r="J12" s="147" t="s">
        <v>272</v>
      </c>
      <c r="K12" s="147" t="s">
        <v>270</v>
      </c>
      <c r="L12" s="148">
        <v>5</v>
      </c>
      <c r="M12" s="147" t="s">
        <v>272</v>
      </c>
      <c r="N12" s="146" t="s">
        <v>270</v>
      </c>
      <c r="O12" s="155">
        <v>5</v>
      </c>
    </row>
    <row r="13" spans="1:15" ht="36.950000000000003" customHeight="1" x14ac:dyDescent="0.2">
      <c r="A13" s="153">
        <v>11</v>
      </c>
      <c r="B13" s="146" t="s">
        <v>296</v>
      </c>
      <c r="C13" s="149" t="s">
        <v>273</v>
      </c>
      <c r="D13" s="148"/>
      <c r="E13" s="148"/>
      <c r="F13" s="148"/>
      <c r="G13" s="148">
        <v>2</v>
      </c>
      <c r="H13" s="148"/>
      <c r="I13" s="148">
        <v>1</v>
      </c>
      <c r="J13" s="148"/>
      <c r="K13" s="148">
        <v>3</v>
      </c>
      <c r="L13" s="148"/>
      <c r="M13" s="148">
        <v>4</v>
      </c>
      <c r="N13" s="145"/>
      <c r="O13" s="155">
        <v>5</v>
      </c>
    </row>
    <row r="14" spans="1:15" ht="36.950000000000003" customHeight="1" x14ac:dyDescent="0.2">
      <c r="A14" s="153">
        <v>12</v>
      </c>
      <c r="B14" s="146" t="s">
        <v>290</v>
      </c>
      <c r="C14" s="149" t="s">
        <v>297</v>
      </c>
      <c r="D14" s="148"/>
      <c r="E14" s="147" t="s">
        <v>271</v>
      </c>
      <c r="F14" s="147" t="s">
        <v>259</v>
      </c>
      <c r="G14" s="148"/>
      <c r="H14" s="148"/>
      <c r="I14" s="148"/>
      <c r="J14" s="148"/>
      <c r="K14" s="148">
        <v>4</v>
      </c>
      <c r="L14" s="148"/>
      <c r="M14" s="148"/>
      <c r="N14" s="145"/>
      <c r="O14" s="155"/>
    </row>
    <row r="15" spans="1:15" ht="36.950000000000003" customHeight="1" thickBot="1" x14ac:dyDescent="0.25">
      <c r="A15" s="157">
        <v>13</v>
      </c>
      <c r="B15" s="158" t="s">
        <v>298</v>
      </c>
      <c r="C15" s="159" t="s">
        <v>299</v>
      </c>
      <c r="D15" s="160" t="s">
        <v>275</v>
      </c>
      <c r="E15" s="160" t="s">
        <v>275</v>
      </c>
      <c r="F15" s="160" t="s">
        <v>275</v>
      </c>
      <c r="G15" s="160" t="s">
        <v>275</v>
      </c>
      <c r="H15" s="160" t="s">
        <v>275</v>
      </c>
      <c r="I15" s="160" t="s">
        <v>275</v>
      </c>
      <c r="J15" s="160" t="s">
        <v>275</v>
      </c>
      <c r="K15" s="160" t="s">
        <v>275</v>
      </c>
      <c r="L15" s="160" t="s">
        <v>275</v>
      </c>
      <c r="M15" s="160" t="s">
        <v>275</v>
      </c>
      <c r="N15" s="160" t="s">
        <v>275</v>
      </c>
      <c r="O15" s="161" t="s">
        <v>275</v>
      </c>
    </row>
    <row r="16" spans="1:15" x14ac:dyDescent="0.2">
      <c r="D16" s="141"/>
      <c r="E16" s="141"/>
      <c r="F16" s="141"/>
      <c r="G16" s="141"/>
      <c r="H16" s="141"/>
      <c r="I16" s="141"/>
      <c r="J16" s="141"/>
      <c r="K16" s="141"/>
      <c r="L16" s="141"/>
      <c r="M16" s="141"/>
    </row>
    <row r="17" spans="4:13" x14ac:dyDescent="0.2">
      <c r="D17" s="141"/>
      <c r="E17" s="141"/>
      <c r="F17" s="141"/>
      <c r="G17" s="141"/>
      <c r="H17" s="141"/>
      <c r="I17" s="141"/>
      <c r="J17" s="141"/>
      <c r="K17" s="141"/>
      <c r="L17" s="141"/>
      <c r="M17" s="141"/>
    </row>
    <row r="18" spans="4:13" x14ac:dyDescent="0.2">
      <c r="D18" s="141"/>
      <c r="E18" s="141"/>
      <c r="F18" s="141"/>
      <c r="G18" s="141"/>
      <c r="H18" s="141"/>
      <c r="I18" s="141"/>
      <c r="J18" s="141"/>
      <c r="K18" s="141"/>
      <c r="L18" s="141"/>
      <c r="M18" s="141"/>
    </row>
    <row r="19" spans="4:13" x14ac:dyDescent="0.2">
      <c r="D19" s="141"/>
      <c r="E19" s="141"/>
      <c r="F19" s="141"/>
      <c r="G19" s="141"/>
      <c r="H19" s="141"/>
      <c r="I19" s="141"/>
      <c r="J19" s="141"/>
      <c r="K19" s="141"/>
      <c r="L19" s="141"/>
      <c r="M19" s="141"/>
    </row>
    <row r="20" spans="4:13" x14ac:dyDescent="0.2">
      <c r="D20" s="141"/>
      <c r="E20" s="141"/>
      <c r="F20" s="141"/>
      <c r="G20" s="141"/>
      <c r="H20" s="141"/>
      <c r="I20" s="141"/>
      <c r="J20" s="141"/>
      <c r="K20" s="141"/>
      <c r="L20" s="141"/>
      <c r="M20" s="141"/>
    </row>
    <row r="21" spans="4:13" x14ac:dyDescent="0.2">
      <c r="D21" s="141"/>
      <c r="E21" s="141"/>
      <c r="F21" s="141"/>
      <c r="G21" s="141"/>
      <c r="H21" s="141"/>
      <c r="I21" s="141"/>
      <c r="J21" s="141"/>
      <c r="K21" s="141"/>
      <c r="L21" s="141"/>
      <c r="M21" s="141"/>
    </row>
  </sheetData>
  <mergeCells count="1">
    <mergeCell ref="A1:O1"/>
  </mergeCells>
  <pageMargins left="0.24" right="0.16" top="0.25" bottom="0.2" header="0.54" footer="0.2"/>
  <pageSetup paperSize="9" orientation="landscape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20"/>
  <sheetViews>
    <sheetView workbookViewId="0">
      <selection sqref="A1:O1"/>
    </sheetView>
  </sheetViews>
  <sheetFormatPr defaultRowHeight="14.25" x14ac:dyDescent="0.2"/>
  <cols>
    <col min="3" max="3" width="37.75" style="150" customWidth="1"/>
    <col min="4" max="14" width="8" customWidth="1"/>
    <col min="15" max="15" width="8.375" customWidth="1"/>
  </cols>
  <sheetData>
    <row r="1" spans="1:15" ht="36.950000000000003" customHeight="1" x14ac:dyDescent="0.2">
      <c r="A1" s="209" t="s">
        <v>300</v>
      </c>
      <c r="B1" s="210"/>
      <c r="C1" s="210"/>
      <c r="D1" s="210"/>
      <c r="E1" s="210"/>
      <c r="F1" s="210"/>
      <c r="G1" s="210"/>
      <c r="H1" s="210"/>
      <c r="I1" s="210"/>
      <c r="J1" s="210"/>
      <c r="K1" s="210"/>
      <c r="L1" s="210"/>
      <c r="M1" s="210"/>
      <c r="N1" s="210"/>
      <c r="O1" s="211"/>
    </row>
    <row r="2" spans="1:15" s="117" customFormat="1" ht="36.950000000000003" customHeight="1" x14ac:dyDescent="0.2">
      <c r="A2" s="162" t="s">
        <v>285</v>
      </c>
      <c r="B2" s="163" t="s">
        <v>286</v>
      </c>
      <c r="C2" s="163" t="s">
        <v>287</v>
      </c>
      <c r="D2" s="164">
        <v>46143</v>
      </c>
      <c r="E2" s="164">
        <v>46174</v>
      </c>
      <c r="F2" s="164">
        <v>46204</v>
      </c>
      <c r="G2" s="164">
        <v>46235</v>
      </c>
      <c r="H2" s="164">
        <v>46266</v>
      </c>
      <c r="I2" s="164">
        <v>46296</v>
      </c>
      <c r="J2" s="164">
        <v>46327</v>
      </c>
      <c r="K2" s="164">
        <v>46357</v>
      </c>
      <c r="L2" s="164">
        <v>46388</v>
      </c>
      <c r="M2" s="164">
        <v>46419</v>
      </c>
      <c r="N2" s="165">
        <v>46447</v>
      </c>
      <c r="O2" s="166">
        <v>46478</v>
      </c>
    </row>
    <row r="3" spans="1:15" ht="36.950000000000003" customHeight="1" x14ac:dyDescent="0.2">
      <c r="A3" s="162">
        <v>1</v>
      </c>
      <c r="B3" s="163" t="s">
        <v>288</v>
      </c>
      <c r="C3" s="167" t="s">
        <v>289</v>
      </c>
      <c r="D3" s="168" t="s">
        <v>267</v>
      </c>
      <c r="E3" s="168" t="s">
        <v>267</v>
      </c>
      <c r="F3" s="168" t="s">
        <v>267</v>
      </c>
      <c r="G3" s="168" t="s">
        <v>267</v>
      </c>
      <c r="H3" s="168" t="s">
        <v>267</v>
      </c>
      <c r="I3" s="168" t="s">
        <v>267</v>
      </c>
      <c r="J3" s="168" t="s">
        <v>267</v>
      </c>
      <c r="K3" s="168" t="s">
        <v>267</v>
      </c>
      <c r="L3" s="168" t="s">
        <v>267</v>
      </c>
      <c r="M3" s="168" t="s">
        <v>267</v>
      </c>
      <c r="N3" s="168" t="s">
        <v>267</v>
      </c>
      <c r="O3" s="168" t="s">
        <v>267</v>
      </c>
    </row>
    <row r="4" spans="1:15" ht="36.950000000000003" customHeight="1" x14ac:dyDescent="0.2">
      <c r="A4" s="162">
        <v>2</v>
      </c>
      <c r="B4" s="163" t="s">
        <v>293</v>
      </c>
      <c r="C4" s="169" t="s">
        <v>268</v>
      </c>
      <c r="D4" s="168"/>
      <c r="E4" s="168"/>
      <c r="F4" s="168"/>
      <c r="G4" s="168"/>
      <c r="H4" s="168"/>
      <c r="I4" s="168"/>
      <c r="J4" s="168"/>
      <c r="K4" s="168"/>
      <c r="L4" s="168">
        <v>6</v>
      </c>
      <c r="M4" s="168"/>
      <c r="N4" s="163"/>
      <c r="O4" s="170"/>
    </row>
    <row r="5" spans="1:15" ht="36.950000000000003" customHeight="1" x14ac:dyDescent="0.2">
      <c r="A5" s="162">
        <v>3</v>
      </c>
      <c r="B5" s="163" t="s">
        <v>290</v>
      </c>
      <c r="C5" s="167" t="s">
        <v>248</v>
      </c>
      <c r="D5" s="168" t="s">
        <v>261</v>
      </c>
      <c r="E5" s="168" t="s">
        <v>282</v>
      </c>
      <c r="F5" s="168"/>
      <c r="G5" s="168"/>
      <c r="H5" s="168"/>
      <c r="I5" s="168"/>
      <c r="J5" s="168"/>
      <c r="K5" s="168"/>
      <c r="L5" s="168"/>
      <c r="M5" s="168"/>
      <c r="N5" s="163"/>
      <c r="O5" s="170"/>
    </row>
    <row r="6" spans="1:15" ht="36.950000000000003" customHeight="1" x14ac:dyDescent="0.2">
      <c r="A6" s="162">
        <v>4</v>
      </c>
      <c r="B6" s="163" t="s">
        <v>305</v>
      </c>
      <c r="C6" s="167" t="s">
        <v>301</v>
      </c>
      <c r="D6" s="168"/>
      <c r="E6" s="168"/>
      <c r="F6" s="168"/>
      <c r="G6" s="168">
        <v>6</v>
      </c>
      <c r="H6" s="168"/>
      <c r="I6" s="168">
        <v>7</v>
      </c>
      <c r="J6" s="168"/>
      <c r="K6" s="168">
        <v>8</v>
      </c>
      <c r="L6" s="168"/>
      <c r="M6" s="168">
        <v>9</v>
      </c>
      <c r="N6" s="163"/>
      <c r="O6" s="170">
        <v>10</v>
      </c>
    </row>
    <row r="7" spans="1:15" ht="36.950000000000003" customHeight="1" x14ac:dyDescent="0.2">
      <c r="A7" s="162">
        <v>5</v>
      </c>
      <c r="B7" s="163" t="s">
        <v>290</v>
      </c>
      <c r="C7" s="167" t="s">
        <v>266</v>
      </c>
      <c r="D7" s="168"/>
      <c r="E7" s="168"/>
      <c r="F7" s="168"/>
      <c r="G7" s="168"/>
      <c r="H7" s="168"/>
      <c r="I7" s="168"/>
      <c r="J7" s="168"/>
      <c r="K7" s="168" t="s">
        <v>267</v>
      </c>
      <c r="L7" s="168"/>
      <c r="M7" s="168"/>
      <c r="N7" s="163"/>
      <c r="O7" s="170"/>
    </row>
    <row r="8" spans="1:15" ht="36.950000000000003" customHeight="1" x14ac:dyDescent="0.2">
      <c r="A8" s="162">
        <v>6</v>
      </c>
      <c r="B8" s="163" t="s">
        <v>290</v>
      </c>
      <c r="C8" s="167" t="s">
        <v>254</v>
      </c>
      <c r="D8" s="168"/>
      <c r="E8" s="168"/>
      <c r="F8" s="168"/>
      <c r="G8" s="168"/>
      <c r="H8" s="168"/>
      <c r="I8" s="168">
        <v>9</v>
      </c>
      <c r="J8" s="168"/>
      <c r="K8" s="168">
        <v>7</v>
      </c>
      <c r="L8" s="168"/>
      <c r="M8" s="168"/>
      <c r="N8" s="163"/>
      <c r="O8" s="170" t="s">
        <v>303</v>
      </c>
    </row>
    <row r="9" spans="1:15" ht="36.950000000000003" customHeight="1" x14ac:dyDescent="0.2">
      <c r="A9" s="162">
        <v>7</v>
      </c>
      <c r="B9" s="163" t="s">
        <v>290</v>
      </c>
      <c r="C9" s="167" t="s">
        <v>256</v>
      </c>
      <c r="D9" s="168"/>
      <c r="E9" s="168"/>
      <c r="F9" s="168"/>
      <c r="G9" s="168"/>
      <c r="H9" s="168"/>
      <c r="I9" s="168">
        <v>9</v>
      </c>
      <c r="J9" s="168"/>
      <c r="K9" s="168">
        <v>7</v>
      </c>
      <c r="L9" s="168"/>
      <c r="M9" s="168"/>
      <c r="N9" s="163"/>
      <c r="O9" s="170" t="s">
        <v>303</v>
      </c>
    </row>
    <row r="10" spans="1:15" ht="36.950000000000003" customHeight="1" x14ac:dyDescent="0.2">
      <c r="A10" s="162">
        <v>8</v>
      </c>
      <c r="B10" s="163" t="s">
        <v>293</v>
      </c>
      <c r="C10" s="169" t="s">
        <v>302</v>
      </c>
      <c r="D10" s="168"/>
      <c r="E10" s="168"/>
      <c r="F10" s="168"/>
      <c r="G10" s="168"/>
      <c r="H10" s="168"/>
      <c r="I10" s="168">
        <v>6</v>
      </c>
      <c r="J10" s="168"/>
      <c r="K10" s="168"/>
      <c r="L10" s="168"/>
      <c r="M10" s="168"/>
      <c r="N10" s="163"/>
      <c r="O10" s="170"/>
    </row>
    <row r="11" spans="1:15" ht="36.950000000000003" customHeight="1" x14ac:dyDescent="0.2">
      <c r="A11" s="162">
        <v>9</v>
      </c>
      <c r="B11" s="163" t="s">
        <v>291</v>
      </c>
      <c r="C11" s="167" t="s">
        <v>277</v>
      </c>
      <c r="D11" s="168"/>
      <c r="E11" s="168"/>
      <c r="F11" s="168">
        <v>6</v>
      </c>
      <c r="G11" s="168"/>
      <c r="H11" s="168">
        <v>7</v>
      </c>
      <c r="I11" s="168"/>
      <c r="J11" s="168">
        <v>8</v>
      </c>
      <c r="K11" s="168"/>
      <c r="L11" s="168">
        <v>9</v>
      </c>
      <c r="M11" s="168"/>
      <c r="N11" s="163">
        <v>10</v>
      </c>
      <c r="O11" s="170"/>
    </row>
    <row r="12" spans="1:15" ht="36.950000000000003" customHeight="1" x14ac:dyDescent="0.2">
      <c r="A12" s="162">
        <v>10</v>
      </c>
      <c r="B12" s="163" t="s">
        <v>295</v>
      </c>
      <c r="C12" s="167" t="s">
        <v>249</v>
      </c>
      <c r="D12" s="168">
        <v>10</v>
      </c>
      <c r="E12" s="168">
        <v>7</v>
      </c>
      <c r="F12" s="168" t="s">
        <v>262</v>
      </c>
      <c r="G12" s="168" t="s">
        <v>304</v>
      </c>
      <c r="H12" s="168">
        <v>7</v>
      </c>
      <c r="I12" s="168" t="s">
        <v>262</v>
      </c>
      <c r="J12" s="168">
        <v>10</v>
      </c>
      <c r="K12" s="168">
        <v>7</v>
      </c>
      <c r="L12" s="168" t="s">
        <v>262</v>
      </c>
      <c r="M12" s="168">
        <v>10</v>
      </c>
      <c r="N12" s="163">
        <v>7</v>
      </c>
      <c r="O12" s="170" t="s">
        <v>262</v>
      </c>
    </row>
    <row r="13" spans="1:15" ht="36.950000000000003" customHeight="1" x14ac:dyDescent="0.2">
      <c r="A13" s="162">
        <v>11</v>
      </c>
      <c r="B13" s="163" t="s">
        <v>290</v>
      </c>
      <c r="C13" s="167" t="s">
        <v>297</v>
      </c>
      <c r="D13" s="168"/>
      <c r="E13" s="168"/>
      <c r="F13" s="168"/>
      <c r="G13" s="168" t="s">
        <v>263</v>
      </c>
      <c r="H13" s="168">
        <v>7</v>
      </c>
      <c r="I13" s="168"/>
      <c r="J13" s="168"/>
      <c r="K13" s="168">
        <v>6</v>
      </c>
      <c r="L13" s="168">
        <v>10</v>
      </c>
      <c r="M13" s="168"/>
      <c r="N13" s="163"/>
      <c r="O13" s="170"/>
    </row>
    <row r="14" spans="1:15" ht="36.950000000000003" customHeight="1" x14ac:dyDescent="0.2">
      <c r="A14" s="163">
        <v>12</v>
      </c>
      <c r="B14" s="163" t="s">
        <v>298</v>
      </c>
      <c r="C14" s="169" t="s">
        <v>299</v>
      </c>
      <c r="D14" s="168" t="s">
        <v>267</v>
      </c>
      <c r="E14" s="168" t="s">
        <v>267</v>
      </c>
      <c r="F14" s="168" t="s">
        <v>267</v>
      </c>
      <c r="G14" s="168" t="s">
        <v>267</v>
      </c>
      <c r="H14" s="168" t="s">
        <v>267</v>
      </c>
      <c r="I14" s="168" t="s">
        <v>267</v>
      </c>
      <c r="J14" s="168" t="s">
        <v>267</v>
      </c>
      <c r="K14" s="168" t="s">
        <v>267</v>
      </c>
      <c r="L14" s="168" t="s">
        <v>267</v>
      </c>
      <c r="M14" s="168" t="s">
        <v>267</v>
      </c>
      <c r="N14" s="168" t="s">
        <v>267</v>
      </c>
      <c r="O14" s="168" t="s">
        <v>267</v>
      </c>
    </row>
    <row r="15" spans="1:15" x14ac:dyDescent="0.2">
      <c r="D15" s="141"/>
      <c r="E15" s="141"/>
      <c r="F15" s="141"/>
      <c r="G15" s="141"/>
      <c r="H15" s="141"/>
      <c r="I15" s="141"/>
      <c r="J15" s="141"/>
      <c r="K15" s="141"/>
      <c r="L15" s="141"/>
      <c r="M15" s="141"/>
    </row>
    <row r="16" spans="1:15" x14ac:dyDescent="0.2">
      <c r="D16" s="141"/>
      <c r="E16" s="141"/>
      <c r="F16" s="141"/>
      <c r="G16" s="141"/>
      <c r="H16" s="141"/>
      <c r="I16" s="141"/>
      <c r="J16" s="141"/>
      <c r="K16" s="141"/>
      <c r="L16" s="141"/>
      <c r="M16" s="141"/>
    </row>
    <row r="17" spans="4:13" x14ac:dyDescent="0.2">
      <c r="D17" s="141"/>
      <c r="E17" s="141"/>
      <c r="F17" s="141"/>
      <c r="G17" s="141"/>
      <c r="H17" s="141"/>
      <c r="I17" s="141"/>
      <c r="J17" s="141"/>
      <c r="K17" s="141"/>
      <c r="L17" s="141"/>
      <c r="M17" s="141"/>
    </row>
    <row r="18" spans="4:13" x14ac:dyDescent="0.2">
      <c r="D18" s="141"/>
      <c r="E18" s="141"/>
      <c r="F18" s="141"/>
      <c r="G18" s="141"/>
      <c r="H18" s="141"/>
      <c r="I18" s="141"/>
      <c r="J18" s="141"/>
      <c r="K18" s="141"/>
      <c r="L18" s="141"/>
      <c r="M18" s="141"/>
    </row>
    <row r="19" spans="4:13" x14ac:dyDescent="0.2">
      <c r="D19" s="141"/>
      <c r="E19" s="141"/>
      <c r="F19" s="141"/>
      <c r="G19" s="141"/>
      <c r="H19" s="141"/>
      <c r="I19" s="141"/>
      <c r="J19" s="141"/>
      <c r="K19" s="141"/>
      <c r="L19" s="141"/>
      <c r="M19" s="141"/>
    </row>
    <row r="20" spans="4:13" x14ac:dyDescent="0.2">
      <c r="D20" s="141"/>
      <c r="E20" s="141"/>
      <c r="F20" s="141"/>
      <c r="G20" s="141"/>
      <c r="H20" s="141"/>
      <c r="I20" s="141"/>
      <c r="J20" s="141"/>
      <c r="K20" s="141"/>
      <c r="L20" s="141"/>
      <c r="M20" s="141"/>
    </row>
  </sheetData>
  <mergeCells count="1">
    <mergeCell ref="A1:O1"/>
  </mergeCells>
  <pageMargins left="0.24" right="0.2" top="0.2" bottom="0.75" header="0.3" footer="0.3"/>
  <pageSetup paperSize="9" scale="86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BUDGET </vt:lpstr>
      <vt:lpstr>24-25</vt:lpstr>
      <vt:lpstr>RIETER 26-27</vt:lpstr>
      <vt:lpstr>LMW- 26 TO 27</vt:lpstr>
      <vt:lpstr>Sheet1</vt:lpstr>
      <vt:lpstr>RIETER-SCH</vt:lpstr>
      <vt:lpstr>LMW - SCH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CPH2471</dc:creator>
  <cp:lastModifiedBy>ismail - [2010]</cp:lastModifiedBy>
  <cp:lastPrinted>2026-08-01T12:50:43Z</cp:lastPrinted>
  <dcterms:created xsi:type="dcterms:W3CDTF">2023-03-22T00:10:53Z</dcterms:created>
  <dcterms:modified xsi:type="dcterms:W3CDTF">2026-08-01T12:52:57Z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b3045556d544402fb249015e85e44e0e</vt:lpwstr>
  </property>
</Properties>
</file>